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a5f28b0fa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fa543287678407d"/>
    <x:sheet xmlns:r="http://schemas.openxmlformats.org/officeDocument/2006/relationships" name="Gates" sheetId="2" r:id="R644fa748f90e4d5c"/>
    <x:sheet xmlns:r="http://schemas.openxmlformats.org/officeDocument/2006/relationships" name="Deliverables" sheetId="3" r:id="R52a4c86f3cdb441c"/>
    <x:sheet xmlns:r="http://schemas.openxmlformats.org/officeDocument/2006/relationships" name="7-Day Plan" sheetId="4" r:id="Rc038a8268d2b4ad1"/>
    <x:sheet xmlns:r="http://schemas.openxmlformats.org/officeDocument/2006/relationships" name="Contacts" sheetId="5" r:id="R5b18a929aa82402a"/>
    <x:sheet xmlns:r="http://schemas.openxmlformats.org/officeDocument/2006/relationships" name="BOM Draft" sheetId="6" r:id="Ra943f1031d3548ac"/>
  </x:sheets>
</x:workbook>
</file>

<file path=xl/comments1.xml><?xml version="1.0" encoding="utf-8"?>
<x:comments xmlns:x="http://schemas.openxmlformats.org/spreadsheetml/2006/main">
  <x:authors>
    <x:author>tc={B1C4A532-F471-42AD-BA1E-2BF3A259C7AF}</x:author>
    <x:author>tc={AAE34DE9-7AE9-4991-83D3-28BE22F322B9}</x:author>
    <x:author>tc={F1CA882C-7176-4873-B2AA-A8D5CC541238}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official CCI contact page, verified 2026-08-29.</x:t>
        </x:r>
      </x:text>
    </x:comment>
    <x:comment ref="E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official Enigma quote page, verified 2026-08-29.</x:t>
        </x:r>
      </x:text>
    </x:comment>
    <x:comment ref="E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official MistyWest contact page, verified 2026-08-29.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03748"/>
      <x:name val="Aptos"/>
    </x:font>
    <x:font>
      <x:b/>
      <x:sz val="10"/>
      <x:color rgb="FFFFFFFF"/>
      <x:name val="Aptos"/>
    </x:font>
    <x:font>
      <x:sz val="10"/>
      <x:color rgb="FF212529"/>
      <x:name val="Aptos"/>
    </x:font>
    <x:font>
      <x:b/>
      <x:sz val="11"/>
      <x:color rgb="FF9B1C1C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03748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CE8E6"/>
      </x:patternFill>
    </x:fill>
  </x:fills>
  <x:borders count="8">
    <x:border/>
    <x:border>
      <x:bottom style="medium">
        <x:color rgb="FF203748"/>
      </x:bottom>
    </x:border>
    <x:border>
      <x:bottom style="thin">
        <x:color rgb="FFD9DEE4"/>
      </x:bottom>
    </x:border>
    <x:border>
      <x:top style="thin">
        <x:color rgb="FFD9DEE4"/>
      </x:top>
      <x:bottom style="thin">
        <x:color rgb="FFD9DEE4"/>
      </x:bottom>
    </x:border>
    <x:border>
      <x:top style="thin">
        <x:color rgb="FFD9DEE4"/>
      </x:top>
    </x:border>
    <x:border>
      <x:left style="medium">
        <x:color rgb="FF9B1C1C"/>
      </x:left>
      <x:top style="medium">
        <x:color rgb="FF9B1C1C"/>
      </x:top>
      <x:bottom style="medium">
        <x:color rgb="FF9B1C1C"/>
      </x:bottom>
    </x:border>
    <x:border>
      <x:top style="medium">
        <x:color rgb="FF9B1C1C"/>
      </x:top>
      <x:bottom style="medium">
        <x:color rgb="FF9B1C1C"/>
      </x:bottom>
    </x:border>
    <x:border>
      <x:right style="medium">
        <x:color rgb="FF9B1C1C"/>
      </x:right>
      <x:top style="medium">
        <x:color rgb="FF9B1C1C"/>
      </x:top>
      <x:bottom style="medium">
        <x:color rgb="FF9B1C1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E6B45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A07618"/>
      </x:font>
      <x:fill>
        <x:patternFill patternType="solid">
          <x:bgColor rgb="FFFFF4CE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A07618"/>
      </x:font>
      <x:fill>
        <x:patternFill patternType="solid">
          <x:bgColor rgb="FFFFF4CE"/>
        </x:patternFill>
      </x:fill>
    </x:dxf>
    <x:dxf>
      <x:font>
        <x:b/>
        <x:color rgb="FF1E6B45"/>
      </x:font>
      <x:fill>
        <x:patternFill patternType="solid">
          <x:bgColor rgb="FFE6F4EA"/>
        </x:patternFill>
      </x:fill>
    </x:dxf>
    <x:dxf>
      <x:font>
        <x:b/>
        <x:color rgb="FFA07618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c4b2a17b74495" /><Relationship Type="http://schemas.openxmlformats.org/officeDocument/2006/relationships/theme" Target="/xl/theme/theme1.xml" Id="Re3c4f181373d49a5" /><Relationship Type="http://schemas.openxmlformats.org/officeDocument/2006/relationships/sharedStrings" Target="/xl/sharedStrings.xml" Id="Rd314939d10704277" /><Relationship Type="http://schemas.openxmlformats.org/officeDocument/2006/relationships/worksheet" Target="/xl/worksheets/sheet1.xml" Id="Rffa543287678407d" /><Relationship Type="http://schemas.openxmlformats.org/officeDocument/2006/relationships/worksheet" Target="/xl/worksheets/sheet2.xml" Id="R644fa748f90e4d5c" /><Relationship Type="http://schemas.openxmlformats.org/officeDocument/2006/relationships/worksheet" Target="/xl/worksheets/sheet3.xml" Id="R52a4c86f3cdb441c" /><Relationship Type="http://schemas.openxmlformats.org/officeDocument/2006/relationships/worksheet" Target="/xl/worksheets/sheet4.xml" Id="Rc038a8268d2b4ad1" /><Relationship Type="http://schemas.openxmlformats.org/officeDocument/2006/relationships/worksheet" Target="/xl/worksheets/sheet5.xml" Id="R5b18a929aa82402a" /><Relationship Type="http://schemas.openxmlformats.org/officeDocument/2006/relationships/worksheet" Target="/xl/worksheets/sheet6.xml" Id="Ra943f1031d3548ac" /><Relationship Type="http://schemas.microsoft.com/office/2017/10/relationships/person" Target="/xl/persons/person.xml" Id="R21475bfe31f94df9" /></Relationships>
</file>

<file path=xl/persons/person.xml><?xml version="1.0" encoding="utf-8"?>
<xltc:personList xmlns:xltc="http://schemas.microsoft.com/office/spreadsheetml/2018/threadedcomments">
  <xltc:person displayName="Omar" id="{86CD7B71-B481-46B0-91C1-B7EB91FC6851}"/>
</xltc:personList>
</file>

<file path=xl/tables/table1.xml><?xml version="1.0" encoding="utf-8"?>
<x:table xmlns:x="http://schemas.openxmlformats.org/spreadsheetml/2006/main" id="1" name="ReleaseGatesTable" displayName="ReleaseGatesTable" ref="A3:F21" headerRowCount="1" totalsRowCount="0" totalsRowShown="0">
  <x:tableColumns count="6">
    <x:tableColumn id="1" name="Gate ID"/>
    <x:tableColumn id="2" name="Phase"/>
    <x:tableColumn id="3" name="Requirement"/>
    <x:tableColumn id="4" name="Owner"/>
    <x:tableColumn id="5" name="Status"/>
    <x:tableColumn id="6" name="Required evidenc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ablesTable" displayName="DeliverablesTable" ref="A3:E15" headerRowCount="1" totalsRowCount="0" totalsRowShown="0">
  <x:tableColumns count="5">
    <x:tableColumn id="1" name="Deliverable"/>
    <x:tableColumn id="2" name="Owner"/>
    <x:tableColumn id="3" name="Status"/>
    <x:tableColumn id="4" name="Location"/>
    <x:tableColumn id="5" name="Releas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shPlanTable" displayName="RushPlanTable" ref="A3:F11" headerRowCount="1" totalsRowCount="0" totalsRowShown="0">
  <x:tableColumns count="6">
    <x:tableColumn id="1" name="Day"/>
    <x:tableColumn id="2" name="PCB / electrical"/>
    <x:tableColumn id="3" name="Mechanical"/>
    <x:tableColumn id="4" name="Firmware / test"/>
    <x:tableColumn id="5" name="Manufacturing / integration"/>
    <x:tableColumn id="6" name="Exi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actsTable" displayName="ContactsTable" ref="A3:F6" headerRowCount="1" totalsRowCount="0" totalsRowShown="0">
  <x:tableColumns count="6">
    <x:tableColumn id="1" name="Organization"/>
    <x:tableColumn id="2" name="Use"/>
    <x:tableColumn id="3" name="Email"/>
    <x:tableColumn id="4" name="Phone"/>
    <x:tableColumn id="5" name="Official URL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raftBOMTable" displayName="DraftBOMTable" ref="A3:I59" headerRowCount="1" totalsRowCount="0" totalsRowShown="0">
  <x:tableColumns count="9">
    <x:tableColumn id="1" name="reference"/>
    <x:tableColumn id="2" name="quantity_per_board"/>
    <x:tableColumn id="3" name="value"/>
    <x:tableColumn id="4" name="manufacturer"/>
    <x:tableColumn id="5" name="mpn"/>
    <x:tableColumn id="6" name="footprint"/>
    <x:tableColumn id="7" name="side"/>
    <x:tableColumn id="8" name="description"/>
    <x:tableColumn id="9" name="data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4" dT="2026-08-29T22:43:25.354" personId="{86CD7B71-B481-46B0-91C1-B7EB91FC6851}" id="{B1C4A532-F471-42AD-BA1E-2BF3A259C7AF}">
    <xltc:text>Source: official CCI contact page, verified 2026-08-29.</xltc:text>
  </xltc:threadedComment>
  <xltc:threadedComment ref="E5" dT="2026-08-29T22:43:25.355" personId="{86CD7B71-B481-46B0-91C1-B7EB91FC6851}" id="{AAE34DE9-7AE9-4991-83D3-28BE22F322B9}">
    <xltc:text>Source: official Enigma quote page, verified 2026-08-29.</xltc:text>
  </xltc:threadedComment>
  <xltc:threadedComment ref="E6" dT="2026-08-29T22:43:25.356" personId="{86CD7B71-B481-46B0-91C1-B7EB91FC6851}" id="{F1CA882C-7176-4873-B2AA-A8D5CC541238}">
    <xltc:text>Source: official MistyWest contact page, verified 2026-08-29.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658edc27e9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7824d61c25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0ffef41db048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b2abad92863a450b" /><Relationship Type="http://schemas.openxmlformats.org/officeDocument/2006/relationships/vmlDrawing" Target="/xl/drawings/vmldrawing.vml" Id="Rb01fb8d8e06540ae" /><Relationship Type="http://schemas.microsoft.com/office/2017/10/relationships/threadedComment" Target="/xl/threadedcomments/threadedcomment.xml" Id="R1b49151f51b14228" /><Relationship Type="http://schemas.openxmlformats.org/officeDocument/2006/relationships/table" Target="/xl/tables/table4.xml" Id="R9d35c0db16aa42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e34b66611142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5" hidden="0" customWidth="1"/>
    <x:col min="4" max="4" width="16" hidden="0" customWidth="1"/>
    <x:col min="5" max="5" width="45" hidden="0" customWidth="1"/>
    <x:col min="6" max="6" width="40" hidden="0" customWidth="1"/>
  </x:cols>
  <x:sheetData>
    <x:row r="1" ht="34" customHeight="1">
      <x:c r="A1" s="3" t="str">
        <x:v>Anticipy R0B Project Control</x:v>
      </x:c>
      <x:c r="B1" s="3" t="str">
        <x:v>Anticipy R0B Project Control</x:v>
      </x:c>
      <x:c r="C1" s="3" t="str">
        <x:v>Anticipy R0B Project Control</x:v>
      </x:c>
      <x:c r="D1" s="3" t="str">
        <x:v>Anticipy R0B Project Control</x:v>
      </x:c>
      <x:c r="E1" s="3" t="str">
        <x:v>Anticipy R0B Project Control</x:v>
      </x:c>
      <x:c r="F1" s="3" t="str">
        <x:v>Anticipy R0B Project Control</x:v>
      </x:c>
    </x:row>
    <x:row r="2" ht="24" customHeight="1">
      <x:c r="A2" s="6" t="str">
        <x:v>Release ANT-PROD-R0B-EVT-HANDOFF-2026-08-29 | Engineering WIP | Not approved for fabrication</x:v>
      </x:c>
      <x:c r="B2" s="6" t="str">
        <x:v>Release ANT-PROD-R0B-EVT-HANDOFF-2026-08-29 | Engineering WIP | Not approved for fabrication</x:v>
      </x:c>
      <x:c r="C2" s="6" t="str">
        <x:v>Release ANT-PROD-R0B-EVT-HANDOFF-2026-08-29 | Engineering WIP | Not approved for fabrication</x:v>
      </x:c>
      <x:c r="D2" s="6" t="str">
        <x:v>Release ANT-PROD-R0B-EVT-HANDOFF-2026-08-29 | Engineering WIP | Not approved for fabrication</x:v>
      </x:c>
      <x:c r="E2" s="6" t="str">
        <x:v>Release ANT-PROD-R0B-EVT-HANDOFF-2026-08-29 | Engineering WIP | Not approved for fabrication</x:v>
      </x:c>
      <x:c r="F2" s="6" t="str">
        <x:v>Release ANT-PROD-R0B-EVT-HANDOFF-2026-08-29 | Engineering WIP | Not approved for fabrication</x:v>
      </x:c>
    </x:row>
    <x:row r="3" ht="28" customHeight="1">
      <x:c r="A3" s="11" t="str">
        <x:v>Metric</x:v>
      </x:c>
      <x:c r="B3" s="11" t="str">
        <x:v>Current state</x:v>
      </x:c>
    </x:row>
    <x:row r="4">
      <x:c r="A4" s="19" t="str">
        <x:v>Fabrication status</x:v>
      </x:c>
      <x:c r="B4" s="19" t="str">
        <x:v>BLOCKED</x:v>
      </x:c>
    </x:row>
    <x:row r="5">
      <x:c r="A5" s="20" t="str">
        <x:v>Board outline</x:v>
      </x:c>
      <x:c r="B5" s="20" t="str">
        <x:v>45.8 x 18.0 mm</x:v>
      </x:c>
    </x:row>
    <x:row r="6">
      <x:c r="A6" s="20" t="str">
        <x:v>PCB target</x:v>
      </x:c>
      <x:c r="B6" s="20" t="str">
        <x:v>4 layers, 0.80 mm</x:v>
      </x:c>
    </x:row>
    <x:row r="7">
      <x:c r="A7" s="20" t="str">
        <x:v>Provisional STEP</x:v>
      </x:c>
      <x:c r="B7" s="20" t="str">
        <x:v>0.82 mm - reconcile</x:v>
      </x:c>
    </x:row>
    <x:row r="8">
      <x:c r="A8" s="20" t="str">
        <x:v>Unrouted connections</x:v>
      </x:c>
      <x:c r="B8" s="20" t="n">
        <x:v>176</x:v>
      </x:c>
    </x:row>
    <x:row r="9">
      <x:c r="A9" s="20" t="str">
        <x:v>Open release gates</x:v>
      </x:c>
      <x:c r="B9" s="20" t="n">
        <x:f>COUNTIF('Gates'!$E$4:$E$21,"Open")+COUNTIF('Gates'!$E$4:$E$21,"In Progress")+COUNTIF('Gates'!$E$4:$E$21,"Blocked")</x:f>
        <x:v>18</x:v>
      </x:c>
    </x:row>
    <x:row r="10">
      <x:c r="A10" s="21" t="str">
        <x:v>Missing deliverables</x:v>
      </x:c>
      <x:c r="B10" s="21" t="n">
        <x:f>COUNTIF('Deliverables'!$C$4:$C$15,"Missing")</x:f>
        <x:v>8</x:v>
      </x:c>
    </x:row>
    <x:row r="12" ht="46" customHeight="1">
      <x:c r="A12" s="30" t="str">
        <x:v>DO NOT upload the current KiCad board to a factory. A zero DRC violation count does not mean the board is routed; 176 unconnected items remain.</x:v>
      </x:c>
      <x:c r="B12" s="31" t="str">
        <x:v>DO NOT upload the current KiCad board to a factory. A zero DRC violation count does not mean the board is routed; 176 unconnected items remain.</x:v>
      </x:c>
      <x:c r="C12" s="31" t="str">
        <x:v>DO NOT upload the current KiCad board to a factory. A zero DRC violation count does not mean the board is routed; 176 unconnected items remain.</x:v>
      </x:c>
      <x:c r="D12" s="31" t="str">
        <x:v>DO NOT upload the current KiCad board to a factory. A zero DRC violation count does not mean the board is routed; 176 unconnected items remain.</x:v>
      </x:c>
      <x:c r="E12" s="31" t="str">
        <x:v>DO NOT upload the current KiCad board to a factory. A zero DRC violation count does not mean the board is routed; 176 unconnected items remain.</x:v>
      </x:c>
      <x:c r="F12" s="32" t="str">
        <x:v>DO NOT upload the current KiCad board to a factory. A zero DRC violation count does not mean the board is routed; 176 unconnected items remain.</x:v>
      </x:c>
    </x:row>
    <x:row r="14" ht="28" customHeight="1">
      <x:c r="A14" s="11" t="str">
        <x:v>Immediate action</x:v>
      </x:c>
      <x:c r="B14" s="11" t="str">
        <x:v>Owner</x:v>
      </x:c>
      <x:c r="C14" s="11" t="str">
        <x:v>Status</x:v>
      </x:c>
      <x:c r="D14" s="11" t="str">
        <x:v>Deadline</x:v>
      </x:c>
      <x:c r="E14" s="11" t="str">
        <x:v>Evidence</x:v>
      </x:c>
      <x:c r="F14" s="11" t="str">
        <x:v>Stop condition</x:v>
      </x:c>
    </x:row>
    <x:row r="15">
      <x:c r="A15" s="19" t="str">
        <x:v>Hire one accountable senior PCB lead</x:v>
      </x:c>
      <x:c r="B15" s="19" t="str">
        <x:v>Omar</x:v>
      </x:c>
      <x:c r="C15" s="19" t="str">
        <x:v>Open</x:v>
      </x:c>
      <x:c r="D15" s="19" t="str">
        <x:v>Day 0</x:v>
      </x:c>
      <x:c r="E15" s="19" t="str">
        <x:v>Written acceptance and start time</x:v>
      </x:c>
      <x:c r="F15" s="19" t="str">
        <x:v>No named owner</x:v>
      </x:c>
    </x:row>
    <x:row r="16">
      <x:c r="A16" s="20" t="str">
        <x:v>Select exact protected battery</x:v>
      </x:c>
      <x:c r="B16" s="20" t="str">
        <x:v>PCB Lead</x:v>
      </x:c>
      <x:c r="C16" s="20" t="str">
        <x:v>Open</x:v>
      </x:c>
      <x:c r="D16" s="20" t="str">
        <x:v>Day 1</x:v>
      </x:c>
      <x:c r="E16" s="20" t="str">
        <x:v>Controlled drawing, sample and compliance file</x:v>
      </x:c>
      <x:c r="F16" s="20" t="str">
        <x:v>Any missing battery evidence</x:v>
      </x:c>
    </x:row>
    <x:row r="17">
      <x:c r="A17" s="20" t="str">
        <x:v>Send capability RFQs without manufacturing release</x:v>
      </x:c>
      <x:c r="B17" s="20" t="str">
        <x:v>Omar</x:v>
      </x:c>
      <x:c r="C17" s="20" t="str">
        <x:v>Open</x:v>
      </x:c>
      <x:c r="D17" s="20" t="str">
        <x:v>Day 0</x:v>
      </x:c>
      <x:c r="E17" s="20" t="str">
        <x:v>Written stack-up, stock and schedule</x:v>
      </x:c>
      <x:c r="F17" s="20" t="str">
        <x:v>Factory assumes current files are released</x:v>
      </x:c>
    </x:row>
    <x:row r="18">
      <x:c r="A18" s="20" t="str">
        <x:v>Assign firmware and mechanical owners</x:v>
      </x:c>
      <x:c r="B18" s="20" t="str">
        <x:v>Omar</x:v>
      </x:c>
      <x:c r="C18" s="20" t="str">
        <x:v>Open</x:v>
      </x:c>
      <x:c r="D18" s="20" t="str">
        <x:v>Day 0</x:v>
      </x:c>
      <x:c r="E18" s="20" t="str">
        <x:v>Named owners and availability</x:v>
      </x:c>
      <x:c r="F18" s="20" t="str">
        <x:v>No bring-up or enclosure owner</x:v>
      </x:c>
    </x:row>
    <x:row r="19">
      <x:c r="A19" s="21" t="str">
        <x:v>Finish routing and Gate 0 review</x:v>
      </x:c>
      <x:c r="B19" s="21" t="str">
        <x:v>PCB Lead</x:v>
      </x:c>
      <x:c r="C19" s="21" t="str">
        <x:v>Open</x:v>
      </x:c>
      <x:c r="D19" s="21" t="str">
        <x:v>Day 1-2</x:v>
      </x:c>
      <x:c r="E19" s="21" t="str">
        <x:v>Zero unconnected/ERC/DRC and release ZIP</x:v>
      </x:c>
      <x:c r="F19" s="21" t="str">
        <x:v>Any unresolved engineering gate</x:v>
      </x:c>
    </x:row>
  </x:sheetData>
  <x:mergeCells>
    <x:mergeCell ref="A1:F1"/>
    <x:mergeCell ref="A2:F2"/>
    <x:mergeCell ref="A12:F12"/>
  </x:mergeCells>
  <x:conditionalFormatting sqref="C15:C19">
    <x:cfRule type="containsText" dxfId="5" priority="1" operator="containsText" text="Closed"/>
    <x:cfRule type="containsText" dxfId="6" priority="2" operator="containsText" text="Open"/>
  </x:conditionalFormatting>
  <x:dataValidations count="1">
    <x:dataValidation type="list" sqref="C15:C19">
      <x:formula1>"Open,In Progress,Blocked,Closed"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8" hidden="0" customWidth="1"/>
    <x:col min="4" max="4" width="24" hidden="0" customWidth="1"/>
    <x:col min="5" max="5" width="14" hidden="0" customWidth="1"/>
    <x:col min="6" max="6" width="52" hidden="0" customWidth="1"/>
  </x:cols>
  <x:sheetData>
    <x:row r="1" ht="34" customHeight="1">
      <x:c r="A1" s="3" t="str">
        <x:v>Release Gates</x:v>
      </x:c>
      <x:c r="B1" s="3" t="str">
        <x:v>Release Gates</x:v>
      </x:c>
      <x:c r="C1" s="3" t="str">
        <x:v>Release Gates</x:v>
      </x:c>
      <x:c r="D1" s="3" t="str">
        <x:v>Release Gates</x:v>
      </x:c>
      <x:c r="E1" s="3" t="str">
        <x:v>Release Gates</x:v>
      </x:c>
      <x:c r="F1" s="3" t="str">
        <x:v>Release Gates</x:v>
      </x:c>
    </x:row>
    <x:row r="2" ht="24" customHeight="1">
      <x:c r="A2" s="6" t="str">
        <x:v>Every open row blocks the next release stage unless the exact evidence field is complete.</x:v>
      </x:c>
      <x:c r="B2" s="6" t="str">
        <x:v>Every open row blocks the next release stage unless the exact evidence field is complete.</x:v>
      </x:c>
      <x:c r="C2" s="6" t="str">
        <x:v>Every open row blocks the next release stage unless the exact evidence field is complete.</x:v>
      </x:c>
      <x:c r="D2" s="6" t="str">
        <x:v>Every open row blocks the next release stage unless the exact evidence field is complete.</x:v>
      </x:c>
      <x:c r="E2" s="6" t="str">
        <x:v>Every open row blocks the next release stage unless the exact evidence field is complete.</x:v>
      </x:c>
      <x:c r="F2" s="6" t="str">
        <x:v>Every open row blocks the next release stage unless the exact evidence field is complete.</x:v>
      </x:c>
    </x:row>
    <x:row r="3" ht="28" customHeight="1">
      <x:c r="A3" s="11" t="str">
        <x:v>Gate ID</x:v>
      </x:c>
      <x:c r="B3" s="11" t="str">
        <x:v>Phase</x:v>
      </x:c>
      <x:c r="C3" s="11" t="str">
        <x:v>Requirement</x:v>
      </x:c>
      <x:c r="D3" s="11" t="str">
        <x:v>Owner</x:v>
      </x:c>
      <x:c r="E3" s="11" t="str">
        <x:v>Status</x:v>
      </x:c>
      <x:c r="F3" s="11" t="str">
        <x:v>Required evidence / notes</x:v>
      </x:c>
    </x:row>
    <x:row r="4">
      <x:c r="A4" s="19" t="str">
        <x:v>G0-01</x:v>
      </x:c>
      <x:c r="B4" s="19" t="str">
        <x:v>P0</x:v>
      </x:c>
      <x:c r="C4" s="19" t="str">
        <x:v>Approve exact protected 3-wire battery and evidence</x:v>
      </x:c>
      <x:c r="D4" s="19" t="str">
        <x:v>PCB Lead + Anticipy</x:v>
      </x:c>
      <x:c r="E4" s="19" t="str">
        <x:v>Open</x:v>
      </x:c>
      <x:c r="F4" s="19" t="str">
        <x:v>MPN, max drawing/STEP, protection, 10k NTC, polarity, limits, UN38.3, IEC 62133 evidence, MSDS, sample and stock</x:v>
      </x:c>
    </x:row>
    <x:row r="5">
      <x:c r="A5" s="20" t="str">
        <x:v>G0-02</x:v>
      </x:c>
      <x:c r="B5" s="20" t="str">
        <x:v>P0</x:v>
      </x:c>
      <x:c r="C5" s="20" t="str">
        <x:v>Complete and manually review every PCB connection</x:v>
      </x:c>
      <x:c r="D5" s="20" t="str">
        <x:v>PCB Lead</x:v>
      </x:c>
      <x:c r="E5" s="20" t="str">
        <x:v>Open</x:v>
      </x:c>
      <x:c r="F5" s="20" t="str">
        <x:v>176 unrouted connections at handoff</x:v>
      </x:c>
    </x:row>
    <x:row r="6">
      <x:c r="A6" s="20" t="str">
        <x:v>G0-03</x:v>
      </x:c>
      <x:c r="B6" s="20" t="str">
        <x:v>P0</x:v>
      </x:c>
      <x:c r="C6" s="20" t="str">
        <x:v>Review nPM1300 loops and grounds against Nordic reference</x:v>
      </x:c>
      <x:c r="D6" s="20" t="str">
        <x:v>PCB Lead</x:v>
      </x:c>
      <x:c r="E6" s="20" t="str">
        <x:v>Open</x:v>
      </x:c>
      <x:c r="F6" s="20" t="str">
        <x:v>Signed schematic/layout review</x:v>
      </x:c>
    </x:row>
    <x:row r="7">
      <x:c r="A7" s="20" t="str">
        <x:v>G0-04</x:v>
      </x:c>
      <x:c r="B7" s="20" t="str">
        <x:v>P0</x:v>
      </x:c>
      <x:c r="C7" s="20" t="str">
        <x:v>Approve fabricator 0.80 mm stack and USB geometry</x:v>
      </x:c>
      <x:c r="D7" s="20" t="str">
        <x:v>PCB Lead + Factory</x:v>
      </x:c>
      <x:c r="E7" s="20" t="str">
        <x:v>Open</x:v>
      </x:c>
      <x:c r="F7" s="20" t="str">
        <x:v>Stack-up, Dk, copper, dielectric, width/gap, coupon and TDR</x:v>
      </x:c>
    </x:row>
    <x:row r="8">
      <x:c r="A8" s="20" t="str">
        <x:v>G0-05</x:v>
      </x:c>
      <x:c r="B8" s="20" t="str">
        <x:v>P0</x:v>
      </x:c>
      <x:c r="C8" s="20" t="str">
        <x:v>Resolve 0.80 mm target versus 0.82 mm STEP export</x:v>
      </x:c>
      <x:c r="D8" s="20" t="str">
        <x:v>PCB Lead + Mechanical</x:v>
      </x:c>
      <x:c r="E8" s="20" t="str">
        <x:v>Open</x:v>
      </x:c>
      <x:c r="F8" s="20" t="str">
        <x:v>Written thickness disposition</x:v>
      </x:c>
    </x:row>
    <x:row r="9">
      <x:c r="A9" s="20" t="str">
        <x:v>G0-06</x:v>
      </x:c>
      <x:c r="B9" s="20" t="str">
        <x:v>P0</x:v>
      </x:c>
      <x:c r="C9" s="20" t="str">
        <x:v>Close ERC, DRC, net-equivalence and unconnected reports</x:v>
      </x:c>
      <x:c r="D9" s="20" t="str">
        <x:v>PCB Lead</x:v>
      </x:c>
      <x:c r="E9" s="20" t="str">
        <x:v>Open</x:v>
      </x:c>
      <x:c r="F9" s="20" t="str">
        <x:v>Zero unresolved errors and zero unconnected items</x:v>
      </x:c>
    </x:row>
    <x:row r="10">
      <x:c r="A10" s="20" t="str">
        <x:v>G0-07</x:v>
      </x:c>
      <x:c r="B10" s="20" t="str">
        <x:v>P0</x:v>
      </x:c>
      <x:c r="C10" s="20" t="str">
        <x:v>Generate and collision-review final PCBA STEP</x:v>
      </x:c>
      <x:c r="D10" s="20" t="str">
        <x:v>PCB Lead + Mechanical</x:v>
      </x:c>
      <x:c r="E10" s="20" t="str">
        <x:v>Open</x:v>
      </x:c>
      <x:c r="F10" s="20" t="str">
        <x:v>Released STEP with maximum-height bodies</x:v>
      </x:c>
    </x:row>
    <x:row r="11">
      <x:c r="A11" s="20" t="str">
        <x:v>G0-08</x:v>
      </x:c>
      <x:c r="B11" s="20" t="str">
        <x:v>P0</x:v>
      </x:c>
      <x:c r="C11" s="20" t="str">
        <x:v>Generate dated checksummed manufacturing release</x:v>
      </x:c>
      <x:c r="D11" s="20" t="str">
        <x:v>PCB Lead</x:v>
      </x:c>
      <x:c r="E11" s="20" t="str">
        <x:v>Open</x:v>
      </x:c>
      <x:c r="F11" s="20" t="str">
        <x:v>Gerbers, drills, IPC-356, BOM, CPL, drawings, STEP and README</x:v>
      </x:c>
    </x:row>
    <x:row r="12">
      <x:c r="A12" s="20" t="str">
        <x:v>GA-01</x:v>
      </x:c>
      <x:c r="B12" s="20" t="str">
        <x:v>Gate A</x:v>
      </x:c>
      <x:c r="C12" s="20" t="str">
        <x:v>Bring up FA-001 and FA-002 with current limit</x:v>
      </x:c>
      <x:c r="D12" s="20" t="str">
        <x:v>PCB + Firmware</x:v>
      </x:c>
      <x:c r="E12" s="20" t="str">
        <x:v>Open</x:v>
      </x:c>
      <x:c r="F12" s="20" t="str">
        <x:v>Rail/current/thermal logs</x:v>
      </x:c>
    </x:row>
    <x:row r="13">
      <x:c r="A13" s="20" t="str">
        <x:v>GA-02</x:v>
      </x:c>
      <x:c r="B13" s="20" t="str">
        <x:v>Gate A</x:v>
      </x:c>
      <x:c r="C13" s="20" t="str">
        <x:v>Pass USB in both plug orientations</x:v>
      </x:c>
      <x:c r="D13" s="20" t="str">
        <x:v>Firmware Lead</x:v>
      </x:c>
      <x:c r="E13" s="20" t="str">
        <x:v>Open</x:v>
      </x:c>
      <x:c r="F13" s="20" t="str">
        <x:v>Power, CC, enumeration and data transfer</x:v>
      </x:c>
    </x:row>
    <x:row r="14">
      <x:c r="A14" s="20" t="str">
        <x:v>GA-03</x:v>
      </x:c>
      <x:c r="B14" s="20" t="str">
        <x:v>Gate A</x:v>
      </x:c>
      <x:c r="C14" s="20" t="str">
        <x:v>Pass BLE security, control and transfer</x:v>
      </x:c>
      <x:c r="D14" s="20" t="str">
        <x:v>Firmware Lead</x:v>
      </x:c>
      <x:c r="E14" s="20" t="str">
        <x:v>Open</x:v>
      </x:c>
      <x:c r="F14" s="20" t="str">
        <x:v>RSSI and packet-loss record</x:v>
      </x:c>
    </x:row>
    <x:row r="15">
      <x:c r="A15" s="20" t="str">
        <x:v>GA-04</x:v>
      </x:c>
      <x:c r="B15" s="20" t="str">
        <x:v>Gate A</x:v>
      </x:c>
      <x:c r="C15" s="20" t="str">
        <x:v>Pass both microphone channels and coexistence</x:v>
      </x:c>
      <x:c r="D15" s="20" t="str">
        <x:v>Firmware + Audio</x:v>
      </x:c>
      <x:c r="E15" s="20" t="str">
        <x:v>Open</x:v>
      </x:c>
      <x:c r="F15" s="20" t="str">
        <x:v>Noise/tone/speech and haptic/BLE interference records</x:v>
      </x:c>
    </x:row>
    <x:row r="16">
      <x:c r="A16" s="20" t="str">
        <x:v>GA-05</x:v>
      </x:c>
      <x:c r="B16" s="20" t="str">
        <x:v>Gate A</x:v>
      </x:c>
      <x:c r="C16" s="20" t="str">
        <x:v>Pass NAND ECC, bad-block and power-fail tests</x:v>
      </x:c>
      <x:c r="D16" s="20" t="str">
        <x:v>Firmware Lead</x:v>
      </x:c>
      <x:c r="E16" s="20" t="str">
        <x:v>Open</x:v>
      </x:c>
      <x:c r="F16" s="20" t="str">
        <x:v>Write/read/hash, recovery, erase and near-capacity records</x:v>
      </x:c>
    </x:row>
    <x:row r="17">
      <x:c r="A17" s="20" t="str">
        <x:v>GA-06</x:v>
      </x:c>
      <x:c r="B17" s="20" t="str">
        <x:v>Gate A</x:v>
      </x:c>
      <x:c r="C17" s="20" t="str">
        <x:v>Pass approved battery and charging tests</x:v>
      </x:c>
      <x:c r="D17" s="20" t="str">
        <x:v>PCB Lead</x:v>
      </x:c>
      <x:c r="E17" s="20" t="str">
        <x:v>Open</x:v>
      </x:c>
      <x:c r="F17" s="20" t="str">
        <x:v>NTC, charge current, termination, protection and thermal logs</x:v>
      </x:c>
    </x:row>
    <x:row r="18">
      <x:c r="A18" s="20" t="str">
        <x:v>GA-07</x:v>
      </x:c>
      <x:c r="B18" s="20" t="str">
        <x:v>Gate A</x:v>
      </x:c>
      <x:c r="C18" s="20" t="str">
        <x:v>Issue written remaining-ten release</x:v>
      </x:c>
      <x:c r="D18" s="20" t="str">
        <x:v>Anticipy Approver</x:v>
      </x:c>
      <x:c r="E18" s="20" t="str">
        <x:v>Open</x:v>
      </x:c>
      <x:c r="F18" s="20" t="str">
        <x:v>Two passing serials and exact release checksums</x:v>
      </x:c>
    </x:row>
    <x:row r="19">
      <x:c r="A19" s="20" t="str">
        <x:v>GB-01</x:v>
      </x:c>
      <x:c r="B19" s="20" t="str">
        <x:v>Gate B</x:v>
      </x:c>
      <x:c r="C19" s="20" t="str">
        <x:v>Pass final enclosure fit and retention</x:v>
      </x:c>
      <x:c r="D19" s="20" t="str">
        <x:v>Mechanical Lead</x:v>
      </x:c>
      <x:c r="E19" s="20" t="str">
        <x:v>Open</x:v>
      </x:c>
      <x:c r="F19" s="20" t="str">
        <x:v>No collision, rattle, chafe or battery movement</x:v>
      </x:c>
    </x:row>
    <x:row r="20">
      <x:c r="A20" s="20" t="str">
        <x:v>GB-02</x:v>
      </x:c>
      <x:c r="B20" s="20" t="str">
        <x:v>Gate B</x:v>
      </x:c>
      <x:c r="C20" s="20" t="str">
        <x:v>Pass sealed-unit acoustic and RF tests</x:v>
      </x:c>
      <x:c r="D20" s="20" t="str">
        <x:v>Mechanical + Firmware</x:v>
      </x:c>
      <x:c r="E20" s="20" t="str">
        <x:v>Open</x:v>
      </x:c>
      <x:c r="F20" s="20" t="str">
        <x:v>Audio and BLE limits in worn/free-space orientations</x:v>
      </x:c>
    </x:row>
    <x:row r="21">
      <x:c r="A21" s="21" t="str">
        <x:v>GB-03</x:v>
      </x:c>
      <x:c r="B21" s="21" t="str">
        <x:v>Gate B</x:v>
      </x:c>
      <x:c r="C21" s="21" t="str">
        <x:v>Pass sealed-unit charge, drop and runtime</x:v>
      </x:c>
      <x:c r="D21" s="21" t="str">
        <x:v>QA Lead</x:v>
      </x:c>
      <x:c r="E21" s="21" t="str">
        <x:v>Open</x:v>
      </x:c>
      <x:c r="F21" s="21" t="str">
        <x:v>Thermal, overnight recording, backfill and drop records</x:v>
      </x:c>
    </x:row>
  </x:sheetData>
  <x:mergeCells>
    <x:mergeCell ref="A1:F1"/>
    <x:mergeCell ref="A2:F2"/>
  </x:mergeCells>
  <x:conditionalFormatting sqref="E4:E21">
    <x:cfRule type="containsText" dxfId="0" priority="1" operator="containsText" text="Closed"/>
    <x:cfRule type="containsText" dxfId="1" priority="2" operator="containsText" text="Blocked"/>
    <x:cfRule type="containsText" dxfId="2" priority="3" operator="containsText" text="Open"/>
  </x:conditionalFormatting>
  <x:dataValidations count="1">
    <x:dataValidation type="list" sqref="E4:E21">
      <x:formula1>"Open,In Progress,Blocked,Closed"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58edc27e94b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8" hidden="0" customWidth="1"/>
    <x:col min="4" max="4" width="36" hidden="0" customWidth="1"/>
    <x:col min="5" max="5" width="45" hidden="0" customWidth="1"/>
  </x:cols>
  <x:sheetData>
    <x:row r="1" ht="34" customHeight="1">
      <x:c r="A1" s="3" t="str">
        <x:v>Deliverables Register</x:v>
      </x:c>
      <x:c r="B1" s="3" t="str">
        <x:v>Deliverables Register</x:v>
      </x:c>
      <x:c r="C1" s="3" t="str">
        <x:v>Deliverables Register</x:v>
      </x:c>
      <x:c r="D1" s="3" t="str">
        <x:v>Deliverables Register</x:v>
      </x:c>
      <x:c r="E1" s="3" t="str">
        <x:v>Deliverables Register</x:v>
      </x:c>
    </x:row>
    <x:row r="2" ht="24" customHeight="1">
      <x:c r="A2" s="6" t="str">
        <x:v>Present does not mean released. Use the status and notes columns before sending any file downstream.</x:v>
      </x:c>
      <x:c r="B2" s="6" t="str">
        <x:v>Present does not mean released. Use the status and notes columns before sending any file downstream.</x:v>
      </x:c>
      <x:c r="C2" s="6" t="str">
        <x:v>Present does not mean released. Use the status and notes columns before sending any file downstream.</x:v>
      </x:c>
      <x:c r="D2" s="6" t="str">
        <x:v>Present does not mean released. Use the status and notes columns before sending any file downstream.</x:v>
      </x:c>
      <x:c r="E2" s="6" t="str">
        <x:v>Present does not mean released. Use the status and notes columns before sending any file downstream.</x:v>
      </x:c>
    </x:row>
    <x:row r="3" ht="28" customHeight="1">
      <x:c r="A3" s="11" t="str">
        <x:v>Deliverable</x:v>
      </x:c>
      <x:c r="B3" s="11" t="str">
        <x:v>Owner</x:v>
      </x:c>
      <x:c r="C3" s="11" t="str">
        <x:v>Status</x:v>
      </x:c>
      <x:c r="D3" s="11" t="str">
        <x:v>Location</x:v>
      </x:c>
      <x:c r="E3" s="11" t="str">
        <x:v>Release note</x:v>
      </x:c>
    </x:row>
    <x:row r="4">
      <x:c r="A4" s="19" t="str">
        <x:v>Native KiCad project</x:v>
      </x:c>
      <x:c r="B4" s="19" t="str">
        <x:v>PCB Lead</x:v>
      </x:c>
      <x:c r="C4" s="19" t="str">
        <x:v>Present - WIP</x:v>
      </x:c>
      <x:c r="D4" s="19" t="str">
        <x:v>01_Electrical_Source</x:v>
      </x:c>
      <x:c r="E4" s="19" t="str">
        <x:v>Editable but unrouted</x:v>
      </x:c>
    </x:row>
    <x:row r="5">
      <x:c r="A5" s="20" t="str">
        <x:v>Custom footprint library</x:v>
      </x:c>
      <x:c r="B5" s="20" t="str">
        <x:v>PCB Lead</x:v>
      </x:c>
      <x:c r="C5" s="20" t="str">
        <x:v>Present - verify</x:v>
      </x:c>
      <x:c r="D5" s="20" t="str">
        <x:v>01_Electrical_Source/Anticipy_R0B.pretty</x:v>
      </x:c>
      <x:c r="E5" s="20" t="str">
        <x:v>Manufacturer review required</x:v>
      </x:c>
    </x:row>
    <x:row r="6">
      <x:c r="A6" s="20" t="str">
        <x:v>Draft BOM</x:v>
      </x:c>
      <x:c r="B6" s="20" t="str">
        <x:v>PCB Lead + Procurement</x:v>
      </x:c>
      <x:c r="C6" s="20" t="str">
        <x:v>Present - draft</x:v>
      </x:c>
      <x:c r="D6" s="20" t="str">
        <x:v>BOM_DRAFT_DO_NOT_PROCURE.csv</x:v>
      </x:c>
      <x:c r="E6" s="20" t="str">
        <x:v>Battery is TBD</x:v>
      </x:c>
    </x:row>
    <x:row r="7">
      <x:c r="A7" s="20" t="str">
        <x:v>Provisional board STEP/DXF</x:v>
      </x:c>
      <x:c r="B7" s="20" t="str">
        <x:v>Mechanical Lead</x:v>
      </x:c>
      <x:c r="C7" s="20" t="str">
        <x:v>Present - provisional</x:v>
      </x:c>
      <x:c r="D7" s="20" t="str">
        <x:v>02_Mechanical_CAD</x:v>
      </x:c>
      <x:c r="E7" s="20" t="str">
        <x:v>Board only; STEP reports 0.82 mm</x:v>
      </x:c>
    </x:row>
    <x:row r="8">
      <x:c r="A8" s="20" t="str">
        <x:v>Released Gerbers and drills</x:v>
      </x:c>
      <x:c r="B8" s="20" t="str">
        <x:v>PCB Lead</x:v>
      </x:c>
      <x:c r="C8" s="20" t="str">
        <x:v>Missing</x:v>
      </x:c>
      <x:c r="D8" s="20" t="str">
        <x:v>Future release</x:v>
      </x:c>
      <x:c r="E8" s="20" t="str">
        <x:v>Blocked by routing/review</x:v>
      </x:c>
    </x:row>
    <x:row r="9">
      <x:c r="A9" s="20" t="str">
        <x:v>Released BOM and CPL</x:v>
      </x:c>
      <x:c r="B9" s="20" t="str">
        <x:v>PCB Lead</x:v>
      </x:c>
      <x:c r="C9" s="20" t="str">
        <x:v>Missing</x:v>
      </x:c>
      <x:c r="D9" s="20" t="str">
        <x:v>Future release</x:v>
      </x:c>
      <x:c r="E9" s="20" t="str">
        <x:v>Requires availability and final layout</x:v>
      </x:c>
    </x:row>
    <x:row r="10">
      <x:c r="A10" s="20" t="str">
        <x:v>Fab/assembly drawings + IPC-356</x:v>
      </x:c>
      <x:c r="B10" s="20" t="str">
        <x:v>PCB Lead</x:v>
      </x:c>
      <x:c r="C10" s="20" t="str">
        <x:v>Missing</x:v>
      </x:c>
      <x:c r="D10" s="20" t="str">
        <x:v>Future release</x:v>
      </x:c>
      <x:c r="E10" s="20" t="str">
        <x:v>Requires final native source</x:v>
      </x:c>
    </x:row>
    <x:row r="11">
      <x:c r="A11" s="20" t="str">
        <x:v>Final PCBA STEP</x:v>
      </x:c>
      <x:c r="B11" s="20" t="str">
        <x:v>PCB Lead</x:v>
      </x:c>
      <x:c r="C11" s="20" t="str">
        <x:v>Missing</x:v>
      </x:c>
      <x:c r="D11" s="20" t="str">
        <x:v>Future release</x:v>
      </x:c>
      <x:c r="E11" s="20" t="str">
        <x:v>Requires full 3D bodies</x:v>
      </x:c>
    </x:row>
    <x:row r="12">
      <x:c r="A12" s="20" t="str">
        <x:v>Exact battery STEP/drawing</x:v>
      </x:c>
      <x:c r="B12" s="20" t="str">
        <x:v>Battery Supplier + PCB Lead</x:v>
      </x:c>
      <x:c r="C12" s="20" t="str">
        <x:v>Missing</x:v>
      </x:c>
      <x:c r="D12" s="20" t="str">
        <x:v>Future release</x:v>
      </x:c>
      <x:c r="E12" s="20" t="str">
        <x:v>Hard safety and fit gate</x:v>
      </x:c>
    </x:row>
    <x:row r="13">
      <x:c r="A13" s="20" t="str">
        <x:v>Production/factory firmware</x:v>
      </x:c>
      <x:c r="B13" s="20" t="str">
        <x:v>Firmware Lead</x:v>
      </x:c>
      <x:c r="C13" s="20" t="str">
        <x:v>Missing</x:v>
      </x:c>
      <x:c r="D13" s="20" t="str">
        <x:v>Future release</x:v>
      </x:c>
      <x:c r="E13" s="20" t="str">
        <x:v>Source, binary, hash and test commands</x:v>
      </x:c>
    </x:row>
    <x:row r="14">
      <x:c r="A14" s="20" t="str">
        <x:v>Final enclosure CAD/DXFs</x:v>
      </x:c>
      <x:c r="B14" s="20" t="str">
        <x:v>Mechanical Lead</x:v>
      </x:c>
      <x:c r="C14" s="20" t="str">
        <x:v>Missing</x:v>
      </x:c>
      <x:c r="D14" s="20" t="str">
        <x:v>Future release</x:v>
      </x:c>
      <x:c r="E14" s="20" t="str">
        <x:v>Requires PCBA and battery STEP</x:v>
      </x:c>
    </x:row>
    <x:row r="15">
      <x:c r="A15" s="21" t="str">
        <x:v>Assembly traveler</x:v>
      </x:c>
      <x:c r="B15" s="21" t="str">
        <x:v>Mechanical + Integrator</x:v>
      </x:c>
      <x:c r="C15" s="21" t="str">
        <x:v>Missing</x:v>
      </x:c>
      <x:c r="D15" s="21" t="str">
        <x:v>Future release</x:v>
      </x:c>
      <x:c r="E15" s="21" t="str">
        <x:v>Adhesive, cure, inspection and tests</x:v>
      </x:c>
    </x:row>
  </x:sheetData>
  <x:mergeCells>
    <x:mergeCell ref="A1:E1"/>
    <x:mergeCell ref="A2:E2"/>
  </x:mergeCells>
  <x:conditionalFormatting sqref="C4:C15">
    <x:cfRule type="containsText" dxfId="3" priority="1" operator="containsText" text="Missing"/>
    <x:cfRule type="containsText" dxfId="4" priority="2" operator="containsText" text="Present"/>
  </x:conditionalFormatting>
  <x:pageMargins left="0.7" right="0.7" top="0.75" bottom="0.75" header="0.3" footer="0.3"/>
  <x:tableParts count="1">
    <x:tablePart xmlns:r="http://schemas.openxmlformats.org/officeDocument/2006/relationships" r:id="R9e7824d61c25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4" customHeight="1">
      <x:c r="A1" s="3" t="str">
        <x:v>Seven-Day Rush Plan</x:v>
      </x:c>
      <x:c r="B1" s="3" t="str">
        <x:v>Seven-Day Rush Plan</x:v>
      </x:c>
      <x:c r="C1" s="3" t="str">
        <x:v>Seven-Day Rush Plan</x:v>
      </x:c>
      <x:c r="D1" s="3" t="str">
        <x:v>Seven-Day Rush Plan</x:v>
      </x:c>
      <x:c r="E1" s="3" t="str">
        <x:v>Seven-Day Rush Plan</x:v>
      </x:c>
      <x:c r="F1" s="3" t="str">
        <x:v>Seven-Day Rush Plan</x:v>
      </x:c>
    </x:row>
    <x:row r="2" ht="24" customHeight="1">
      <x:c r="A2" s="6" t="str">
        <x:v>A target, not a promise: one to five working EVT units is the practical success range if revision one works.</x:v>
      </x:c>
      <x:c r="B2" s="6" t="str">
        <x:v>A target, not a promise: one to five working EVT units is the practical success range if revision one works.</x:v>
      </x:c>
      <x:c r="C2" s="6" t="str">
        <x:v>A target, not a promise: one to five working EVT units is the practical success range if revision one works.</x:v>
      </x:c>
      <x:c r="D2" s="6" t="str">
        <x:v>A target, not a promise: one to five working EVT units is the practical success range if revision one works.</x:v>
      </x:c>
      <x:c r="E2" s="6" t="str">
        <x:v>A target, not a promise: one to five working EVT units is the practical success range if revision one works.</x:v>
      </x:c>
      <x:c r="F2" s="6" t="str">
        <x:v>A target, not a promise: one to five working EVT units is the practical success range if revision one works.</x:v>
      </x:c>
    </x:row>
    <x:row r="3" ht="28" customHeight="1">
      <x:c r="A3" s="11" t="str">
        <x:v>Day</x:v>
      </x:c>
      <x:c r="B3" s="11" t="str">
        <x:v>PCB / electrical</x:v>
      </x:c>
      <x:c r="C3" s="11" t="str">
        <x:v>Mechanical</x:v>
      </x:c>
      <x:c r="D3" s="11" t="str">
        <x:v>Firmware / test</x:v>
      </x:c>
      <x:c r="E3" s="11" t="str">
        <x:v>Manufacturing / integration</x:v>
      </x:c>
      <x:c r="F3" s="11" t="str">
        <x:v>Exit gate</x:v>
      </x:c>
    </x:row>
    <x:row r="4">
      <x:c r="A4" s="19" t="n">
        <x:v>0</x:v>
      </x:c>
      <x:c r="B4" s="19" t="str">
        <x:v>Hire PCB lead; review blockers</x:v>
      </x:c>
      <x:c r="C4" s="19" t="str">
        <x:v>Start packaging study</x:v>
      </x:c>
      <x:c r="D4" s="19" t="str">
        <x:v>Freeze bring-up plan</x:v>
      </x:c>
      <x:c r="E4" s="19" t="str">
        <x:v>Send RFQs; reserve capacity</x:v>
      </x:c>
      <x:c r="F4" s="19" t="str">
        <x:v>Named owners and written availability</x:v>
      </x:c>
    </x:row>
    <x:row r="5">
      <x:c r="A5" s="20" t="n">
        <x:v>1</x:v>
      </x:c>
      <x:c r="B5" s="20" t="str">
        <x:v>Battery decision; finish routing/review</x:v>
      </x:c>
      <x:c r="C5" s="20" t="str">
        <x:v>Develop centre/face concept</x:v>
      </x:c>
      <x:c r="D5" s="20" t="str">
        <x:v>Bench image and SWD plan</x:v>
      </x:c>
      <x:c r="E5" s="20" t="str">
        <x:v>Factory returns stack-up and stock</x:v>
      </x:c>
      <x:c r="F5" s="20" t="str">
        <x:v>Gate 0 release candidate</x:v>
      </x:c>
    </x:row>
    <x:row r="6">
      <x:c r="A6" s="20" t="n">
        <x:v>2</x:v>
      </x:c>
      <x:c r="B6" s="20" t="str">
        <x:v>Release only if every check passes</x:v>
      </x:c>
      <x:c r="C6" s="20" t="str">
        <x:v>Update from released PCBA STEP</x:v>
      </x:c>
      <x:c r="D6" s="20" t="str">
        <x:v>Release hashed FA firmware</x:v>
      </x:c>
      <x:c r="E6" s="20" t="str">
        <x:v>Start exactly two first articles</x:v>
      </x:c>
      <x:c r="F6" s="20" t="str">
        <x:v>Checksummed manufacturing release</x:v>
      </x:c>
    </x:row>
    <x:row r="7">
      <x:c r="A7" s="20" t="n">
        <x:v>3</x:v>
      </x:c>
      <x:c r="B7" s="20" t="str">
        <x:v>Support DFM/CAM</x:v>
      </x:c>
      <x:c r="C7" s="20" t="str">
        <x:v>Fit and tolerance review</x:v>
      </x:c>
      <x:c r="D7" s="20" t="str">
        <x:v>Prepare fixture and scripts</x:v>
      </x:c>
      <x:c r="E7" s="20" t="str">
        <x:v>Fabricate/assemble FA-001/002</x:v>
      </x:c>
      <x:c r="F7" s="20" t="str">
        <x:v>No unapproved exception</x:v>
      </x:c>
    </x:row>
    <x:row r="8">
      <x:c r="A8" s="20" t="n">
        <x:v>4</x:v>
      </x:c>
      <x:c r="B8" s="20" t="str">
        <x:v>Lead current-limited bring-up</x:v>
      </x:c>
      <x:c r="C8" s="20" t="str">
        <x:v>Correct fit issues</x:v>
      </x:c>
      <x:c r="D8" s="20" t="str">
        <x:v>USB/BLE/audio/storage tests</x:v>
      </x:c>
      <x:c r="E8" s="20" t="str">
        <x:v>Provide AOI/X-ray evidence</x:v>
      </x:c>
      <x:c r="F8" s="20" t="str">
        <x:v>Both open-board FAs pass</x:v>
      </x:c>
    </x:row>
    <x:row r="9">
      <x:c r="A9" s="20" t="n">
        <x:v>5</x:v>
      </x:c>
      <x:c r="B9" s="20" t="str">
        <x:v>Close faults or approve remaining ten</x:v>
      </x:c>
      <x:c r="C9" s="20" t="str">
        <x:v>Freeze enclosure after evidence</x:v>
      </x:c>
      <x:c r="D9" s="20" t="str">
        <x:v>Freeze passed firmware hash</x:v>
      </x:c>
      <x:c r="E9" s="20" t="str">
        <x:v>Assemble ten only after release</x:v>
      </x:c>
      <x:c r="F9" s="20" t="str">
        <x:v>Written remaining-ten release</x:v>
      </x:c>
    </x:row>
    <x:row r="10">
      <x:c r="A10" s="20" t="n">
        <x:v>6</x:v>
      </x:c>
      <x:c r="B10" s="20" t="str">
        <x:v>Support integration faults</x:v>
      </x:c>
      <x:c r="C10" s="20" t="str">
        <x:v>Produce/finish enclosure parts</x:v>
      </x:c>
      <x:c r="D10" s="20" t="str">
        <x:v>Sealed regression</x:v>
      </x:c>
      <x:c r="E10" s="20" t="str">
        <x:v>Integrate two sealed FAs</x:v>
      </x:c>
      <x:c r="F10" s="20" t="str">
        <x:v>Both sealed FAs pass</x:v>
      </x:c>
    </x:row>
    <x:row r="11">
      <x:c r="A11" s="21" t="n">
        <x:v>7</x:v>
      </x:c>
      <x:c r="B11" s="21" t="str">
        <x:v>Final disposition</x:v>
      </x:c>
      <x:c r="C11" s="21" t="str">
        <x:v>Final corrections</x:v>
      </x:c>
      <x:c r="D11" s="21" t="str">
        <x:v>Runtime/backfill review</x:v>
      </x:c>
      <x:c r="E11" s="21" t="str">
        <x:v>Integrate passed units; serialize</x:v>
      </x:c>
      <x:c r="F11" s="21" t="str">
        <x:v>Passed units only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b0ffef41db048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34" hidden="0" customWidth="1"/>
    <x:col min="4" max="4" width="18" hidden="0" customWidth="1"/>
    <x:col min="5" max="5" width="45" hidden="0" customWidth="1"/>
    <x:col min="6" max="6" width="16" hidden="0" customWidth="1"/>
  </x:cols>
  <x:sheetData>
    <x:row r="1" ht="34" customHeight="1">
      <x:c r="A1" s="3" t="str">
        <x:v>Contacts</x:v>
      </x:c>
      <x:c r="B1" s="3" t="str">
        <x:v>Contacts</x:v>
      </x:c>
      <x:c r="C1" s="3" t="str">
        <x:v>Contacts</x:v>
      </x:c>
      <x:c r="D1" s="3" t="str">
        <x:v>Contacts</x:v>
      </x:c>
      <x:c r="E1" s="3" t="str">
        <x:v>Contacts</x:v>
      </x:c>
      <x:c r="F1" s="3" t="str">
        <x:v>Contacts</x:v>
      </x:c>
    </x:row>
    <x:row r="2" ht="24" customHeight="1">
      <x:c r="A2" s="6" t="str">
        <x:v>Verified from official company pages on 2026-08-29. Capability and schedule are not commitments until confirmed in writing.</x:v>
      </x:c>
      <x:c r="B2" s="6" t="str">
        <x:v>Verified from official company pages on 2026-08-29. Capability and schedule are not commitments until confirmed in writing.</x:v>
      </x:c>
      <x:c r="C2" s="6" t="str">
        <x:v>Verified from official company pages on 2026-08-29. Capability and schedule are not commitments until confirmed in writing.</x:v>
      </x:c>
      <x:c r="D2" s="6" t="str">
        <x:v>Verified from official company pages on 2026-08-29. Capability and schedule are not commitments until confirmed in writing.</x:v>
      </x:c>
      <x:c r="E2" s="6" t="str">
        <x:v>Verified from official company pages on 2026-08-29. Capability and schedule are not commitments until confirmed in writing.</x:v>
      </x:c>
      <x:c r="F2" s="6" t="str">
        <x:v>Verified from official company pages on 2026-08-29. Capability and schedule are not commitments until confirmed in writing.</x:v>
      </x:c>
    </x:row>
    <x:row r="3" ht="28" customHeight="1">
      <x:c r="A3" s="11" t="str">
        <x:v>Organization</x:v>
      </x:c>
      <x:c r="B3" s="11" t="str">
        <x:v>Use</x:v>
      </x:c>
      <x:c r="C3" s="11" t="str">
        <x:v>Email</x:v>
      </x:c>
      <x:c r="D3" s="11" t="str">
        <x:v>Phone</x:v>
      </x:c>
      <x:c r="E3" s="11" t="str">
        <x:v>Official URL</x:v>
      </x:c>
      <x:c r="F3" s="11" t="str">
        <x:v>Status</x:v>
      </x:c>
    </x:row>
    <x:row r="4">
      <x:c r="A4" s="19" t="str">
        <x:v>CCI Canadian Circuits</x:v>
      </x:c>
      <x:c r="B4" s="19" t="str">
        <x:v>Primary rush PCB/PCBA capability request</x:v>
      </x:c>
      <x:c r="C4" s="19" t="str">
        <x:v>sales@canadiancircuits.com</x:v>
      </x:c>
      <x:c r="D4" s="19" t="str">
        <x:v>604-599-8600</x:v>
      </x:c>
      <x:c r="E4" s="19" t="str">
        <x:v>https://www.canadiancircuits.com/contact/</x:v>
      </x:c>
      <x:c r="F4" s="19" t="str">
        <x:v>Not booked</x:v>
      </x:c>
    </x:row>
    <x:row r="5">
      <x:c r="A5" s="20" t="str">
        <x:v>Enigma Interconnect</x:v>
      </x:c>
      <x:c r="B5" s="20" t="str">
        <x:v>Local bare-board backup</x:v>
      </x:c>
      <x:c r="C5" s="20" t="str">
        <x:v>boards@enigmacorp.com</x:v>
      </x:c>
      <x:c r="D5" s="20" t="str">
        <x:v>604-420-3313</x:v>
      </x:c>
      <x:c r="E5" s="20" t="str">
        <x:v>https://www.enigmacorp.com/quote</x:v>
      </x:c>
      <x:c r="F5" s="20" t="str">
        <x:v>Not booked</x:v>
      </x:c>
    </x:row>
    <x:row r="6">
      <x:c r="A6" s="21" t="str">
        <x:v>MistyWest</x:v>
      </x:c>
      <x:c r="B6" s="21" t="str">
        <x:v>Full-service Vancouver hardware engineering option</x:v>
      </x:c>
      <x:c r="C6" s="21" t="str">
        <x:v>contact@mistywest.com</x:v>
      </x:c>
      <x:c r="D6" s="21" t="str">
        <x:v>604-292-7036</x:v>
      </x:c>
      <x:c r="E6" s="21" t="str">
        <x:v>https://www.mistywest.com/contact/</x:v>
      </x:c>
      <x:c r="F6" s="21" t="str">
        <x:v>Not booked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b01fb8d8e06540ae"/>
  <x:tableParts count="1">
    <x:tablePart xmlns:r="http://schemas.openxmlformats.org/officeDocument/2006/relationships" r:id="R9d35c0db16aa42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28" hidden="0" customWidth="1"/>
    <x:col min="5" max="5" width="28" hidden="0" customWidth="1"/>
    <x:col min="6" max="6" width="45" hidden="0" customWidth="1"/>
    <x:col min="7" max="7" width="18" hidden="0" customWidth="1"/>
    <x:col min="8" max="8" width="56" hidden="0" customWidth="1"/>
    <x:col min="9" max="9" width="48" hidden="0" customWidth="1"/>
  </x:cols>
  <x:sheetData>
    <x:row r="1" ht="34" customHeight="1">
      <x:c r="A1" s="3" t="str">
        <x:v>Draft BOM - DO NOT PROCURE</x:v>
      </x:c>
      <x:c r="B1" s="3" t="str">
        <x:v>Draft BOM - DO NOT PROCURE</x:v>
      </x:c>
      <x:c r="C1" s="3" t="str">
        <x:v>Draft BOM - DO NOT PROCURE</x:v>
      </x:c>
      <x:c r="D1" s="3" t="str">
        <x:v>Draft BOM - DO NOT PROCURE</x:v>
      </x:c>
      <x:c r="E1" s="3" t="str">
        <x:v>Draft BOM - DO NOT PROCURE</x:v>
      </x:c>
      <x:c r="F1" s="3" t="str">
        <x:v>Draft BOM - DO NOT PROCURE</x:v>
      </x:c>
      <x:c r="G1" s="3" t="str">
        <x:v>Draft BOM - DO NOT PROCURE</x:v>
      </x:c>
      <x:c r="H1" s="3" t="str">
        <x:v>Draft BOM - DO NOT PROCURE</x:v>
      </x:c>
      <x:c r="I1" s="3" t="str">
        <x:v>Draft BOM - DO NOT PROCURE</x:v>
      </x:c>
    </x:row>
    <x:row r="2" ht="24" customHeight="1">
      <x:c r="A2" s="6" t="str">
        <x:v>Battery is a non-orderable placeholder and every row remains subject to final engineering and availability review.</x:v>
      </x:c>
      <x:c r="B2" s="6" t="str">
        <x:v>Battery is a non-orderable placeholder and every row remains subject to final engineering and availability review.</x:v>
      </x:c>
      <x:c r="C2" s="6" t="str">
        <x:v>Battery is a non-orderable placeholder and every row remains subject to final engineering and availability review.</x:v>
      </x:c>
      <x:c r="D2" s="6" t="str">
        <x:v>Battery is a non-orderable placeholder and every row remains subject to final engineering and availability review.</x:v>
      </x:c>
      <x:c r="E2" s="6" t="str">
        <x:v>Battery is a non-orderable placeholder and every row remains subject to final engineering and availability review.</x:v>
      </x:c>
      <x:c r="F2" s="6" t="str">
        <x:v>Battery is a non-orderable placeholder and every row remains subject to final engineering and availability review.</x:v>
      </x:c>
      <x:c r="G2" s="6" t="str">
        <x:v>Battery is a non-orderable placeholder and every row remains subject to final engineering and availability review.</x:v>
      </x:c>
      <x:c r="H2" s="6" t="str">
        <x:v>Battery is a non-orderable placeholder and every row remains subject to final engineering and availability review.</x:v>
      </x:c>
      <x:c r="I2" s="6" t="str">
        <x:v>Battery is a non-orderable placeholder and every row remains subject to final engineering and availability review.</x:v>
      </x:c>
    </x:row>
    <x:row r="3" ht="28" customHeight="1">
      <x:c r="A3" s="11" t="str">
        <x:v>reference</x:v>
      </x:c>
      <x:c r="B3" s="11" t="str">
        <x:v>quantity_per_board</x:v>
      </x:c>
      <x:c r="C3" s="11" t="str">
        <x:v>value</x:v>
      </x:c>
      <x:c r="D3" s="11" t="str">
        <x:v>manufacturer</x:v>
      </x:c>
      <x:c r="E3" s="11" t="str">
        <x:v>mpn</x:v>
      </x:c>
      <x:c r="F3" s="11" t="str">
        <x:v>footprint</x:v>
      </x:c>
      <x:c r="G3" s="11" t="str">
        <x:v>side</x:v>
      </x:c>
      <x:c r="H3" s="11" t="str">
        <x:v>description</x:v>
      </x:c>
      <x:c r="I3" s="11" t="str">
        <x:v>datasheet</x:v>
      </x:c>
    </x:row>
    <x:row r="4">
      <x:c r="A4" s="19" t="str">
        <x:v>U1</x:v>
      </x:c>
      <x:c r="B4" s="19" t="str">
        <x:v>1</x:v>
      </x:c>
      <x:c r="C4" s="19" t="str">
        <x:v>MDBT50Q-1MV2</x:v>
      </x:c>
      <x:c r="D4" s="19" t="str">
        <x:v>Raytac</x:v>
      </x:c>
      <x:c r="E4" s="19" t="str">
        <x:v>MDBT50Q-1MV2</x:v>
      </x:c>
      <x:c r="F4" s="19" t="str">
        <x:v>Anticipy_R0B:Raytac_MDBT50Q_R0B</x:v>
      </x:c>
      <x:c r="G4" s="19" t="str">
        <x:v>Top</x:v>
      </x:c>
      <x:c r="H4" s="19" t="str">
        <x:v>Certified nRF52840 module; rotation 0 puts antenna at the top board edge</x:v>
      </x:c>
      <x:c r="I4" s="19" t="str">
        <x:v>https://www.raytac.com/download/index.php?index_id=43</x:v>
      </x:c>
    </x:row>
    <x:row r="5">
      <x:c r="A5" s="20" t="str">
        <x:v>U2</x:v>
      </x:c>
      <x:c r="B5" s="20" t="str">
        <x:v>1</x:v>
      </x:c>
      <x:c r="C5" s="20" t="str">
        <x:v>nPM1300</x:v>
      </x:c>
      <x:c r="D5" s="20" t="str">
        <x:v>Nordic Semiconductor</x:v>
      </x:c>
      <x:c r="E5" s="20" t="str">
        <x:v>NPM1300-QEAA-R</x:v>
      </x:c>
      <x:c r="F5" s="20" t="str">
        <x:v>Package_DFN_QFN:QFN-32-1EP_5x5mm_P0.5mm_EP3.45x3.45mm</x:v>
      </x:c>
      <x:c r="G5" s="20" t="str">
        <x:v>Top</x:v>
      </x:c>
      <x:c r="H5" s="20" t="str">
        <x:v>PMIC, USB charger, two bucks, two LDO/load switches</x:v>
      </x:c>
      <x:c r="I5" s="20" t="str">
        <x:v>https://docs.nordicsemi.com/bundle/ps_npm1300/</x:v>
      </x:c>
    </x:row>
    <x:row r="6">
      <x:c r="A6" s="20" t="str">
        <x:v>U3</x:v>
      </x:c>
      <x:c r="B6" s="20" t="str">
        <x:v>1</x:v>
      </x:c>
      <x:c r="C6" s="20" t="str">
        <x:v>LIS2DW12TR</x:v>
      </x:c>
      <x:c r="D6" s="20" t="str">
        <x:v>STMicroelectronics</x:v>
      </x:c>
      <x:c r="E6" s="20" t="str">
        <x:v>LIS2DW12TR</x:v>
      </x:c>
      <x:c r="F6" s="20" t="str">
        <x:v>Package_LGA:LGA-12_2x2mm_P0.5mm</x:v>
      </x:c>
      <x:c r="G6" s="20" t="str">
        <x:v>Top</x:v>
      </x:c>
      <x:c r="H6" s="20" t="str">
        <x:v>Low-power accelerometer, I2C, SA0 low</x:v>
      </x:c>
      <x:c r="I6" s="20" t="str">
        <x:v>https://www.st.com/resource/en/datasheet/lis2dw12.pdf</x:v>
      </x:c>
    </x:row>
    <x:row r="7">
      <x:c r="A7" s="20" t="str">
        <x:v>U4</x:v>
      </x:c>
      <x:c r="B7" s="20" t="str">
        <x:v>1</x:v>
      </x:c>
      <x:c r="C7" s="20" t="str">
        <x:v>TPD2EUSB30DRTR</x:v>
      </x:c>
      <x:c r="D7" s="20" t="str">
        <x:v>Texas Instruments</x:v>
      </x:c>
      <x:c r="E7" s="20" t="str">
        <x:v>TPD2EUSB30DRTR</x:v>
      </x:c>
      <x:c r="F7" s="20" t="str">
        <x:v>Anticipy_R0B:Texas_DRT-3_R0B</x:v>
      </x:c>
      <x:c r="G7" s="20" t="str">
        <x:v>Top</x:v>
      </x:c>
      <x:c r="H7" s="20" t="str">
        <x:v>USB 2.0 data-line ESD protection</x:v>
      </x:c>
      <x:c r="I7" s="20" t="str">
        <x:v>https://www.ti.com/lit/ds/symlink/tpd2eusb30.pdf</x:v>
      </x:c>
    </x:row>
    <x:row r="8">
      <x:c r="A8" s="20" t="str">
        <x:v>U6</x:v>
      </x:c>
      <x:c r="B8" s="20" t="str">
        <x:v>1</x:v>
      </x:c>
      <x:c r="C8" s="20" t="str">
        <x:v>TPD2E2U06DCKR</x:v>
      </x:c>
      <x:c r="D8" s="20" t="str">
        <x:v>Texas Instruments</x:v>
      </x:c>
      <x:c r="E8" s="20" t="str">
        <x:v>TPD2E2U06DCKR</x:v>
      </x:c>
      <x:c r="F8" s="20" t="str">
        <x:v>Package_TO_SOT_SMD:SOT-323_SC-70</x:v>
      </x:c>
      <x:c r="G8" s="20" t="str">
        <x:v>Top</x:v>
      </x:c>
      <x:c r="H8" s="20" t="str">
        <x:v>Connector-side 5.5-V CC1/CC2 shunt ESD protection; no series impedance</x:v>
      </x:c>
      <x:c r="I8" s="20" t="str">
        <x:v>https://www.ti.com/lit/gpn/TPD2E2U06</x:v>
      </x:c>
    </x:row>
    <x:row r="9">
      <x:c r="A9" s="20" t="str">
        <x:v>U5</x:v>
      </x:c>
      <x:c r="B9" s="20" t="str">
        <x:v>1</x:v>
      </x:c>
      <x:c r="C9" s="20" t="str">
        <x:v>MX35LF4GE4AD-Z4I</x:v>
      </x:c>
      <x:c r="D9" s="20" t="str">
        <x:v>Macronix</x:v>
      </x:c>
      <x:c r="E9" s="20" t="str">
        <x:v>MX35LF4GE4AD-Z4I</x:v>
      </x:c>
      <x:c r="F9" s="20" t="str">
        <x:v>Package_SON:WSON-8-1EP_8x6mm_P1.27mm_EP3.4x4.3mm</x:v>
      </x:c>
      <x:c r="G9" s="20" t="str">
        <x:v>Top</x:v>
      </x:c>
      <x:c r="H9" s="20" t="str">
        <x:v>4-Gbit SLC serial NAND; firmware needs ECC, bad-block and power-loss handling</x:v>
      </x:c>
      <x:c r="I9" s="20" t="str">
        <x:v>https://www.macronix.com/Lists/Datasheet/Attachments/9047/MX35LF4GE4AD%2C%203V%2C%204Gb%2C%20v1.6.pdf</x:v>
      </x:c>
    </x:row>
    <x:row r="10">
      <x:c r="A10" s="20" t="str">
        <x:v>MIC1</x:v>
      </x:c>
      <x:c r="B10" s="20" t="str">
        <x:v>1</x:v>
      </x:c>
      <x:c r="C10" s="20" t="str">
        <x:v>CMM-3424DT-26165-TR</x:v>
      </x:c>
      <x:c r="D10" s="20" t="str">
        <x:v>Same Sky</x:v>
      </x:c>
      <x:c r="E10" s="20" t="str">
        <x:v>CMM-3424DT-26165-TR</x:v>
      </x:c>
      <x:c r="F10" s="20" t="str">
        <x:v>Anticipy_R0B:SameSky_CMM-3424DT-26165-TR_TopPort_PDM</x:v>
      </x:c>
      <x:c r="G10" s="20" t="str">
        <x:v>Top</x:v>
      </x:c>
      <x:c r="H10" s="20" t="str">
        <x:v>Front-side top-port IP67 PDM microphone; SELECT low</x:v>
      </x:c>
      <x:c r="I10" s="20" t="str">
        <x:v>https://www.sameskydevices.com/product/resource/cmm-3424dt-26165-tr.pdf</x:v>
      </x:c>
    </x:row>
    <x:row r="11">
      <x:c r="A11" s="20" t="str">
        <x:v>MIC2</x:v>
      </x:c>
      <x:c r="B11" s="20" t="str">
        <x:v>1</x:v>
      </x:c>
      <x:c r="C11" s="20" t="str">
        <x:v>CMM-3424DT-26165-TR</x:v>
      </x:c>
      <x:c r="D11" s="20" t="str">
        <x:v>Same Sky</x:v>
      </x:c>
      <x:c r="E11" s="20" t="str">
        <x:v>CMM-3424DT-26165-TR</x:v>
      </x:c>
      <x:c r="F11" s="20" t="str">
        <x:v>Anticipy_R0B:SameSky_CMM-3424DT-26165-TR_TopPort_PDM</x:v>
      </x:c>
      <x:c r="G11" s="20" t="str">
        <x:v>Top</x:v>
      </x:c>
      <x:c r="H11" s="20" t="str">
        <x:v>Front-side top-port IP67 PDM microphone; SELECT high</x:v>
      </x:c>
      <x:c r="I11" s="20" t="str">
        <x:v>https://www.sameskydevices.com/product/resource/cmm-3424dt-26165-tr.pdf</x:v>
      </x:c>
    </x:row>
    <x:row r="12">
      <x:c r="A12" s="20" t="str">
        <x:v>J1</x:v>
      </x:c>
      <x:c r="B12" s="20" t="str">
        <x:v>1</x:v>
      </x:c>
      <x:c r="C12" s="20" t="str">
        <x:v>USB4500-03-1-A</x:v>
      </x:c>
      <x:c r="D12" s="20" t="str">
        <x:v>GCT</x:v>
      </x:c>
      <x:c r="E12" s="20" t="str">
        <x:v>USB4500-03-1-A</x:v>
      </x:c>
      <x:c r="F12" s="20" t="str">
        <x:v>Anticipy_R0B:USB_C_Receptacle_GCT_USB4500-03-1-A_MidMount</x:v>
      </x:c>
      <x:c r="G12" s="20" t="str">
        <x:v>Top</x:v>
      </x:c>
      <x:c r="H12" s="20" t="str">
        <x:v>0.8-mm mid-mount USB-C; 12 grouped contacts plus four plated shell stakes</x:v>
      </x:c>
      <x:c r="I12" s="20" t="str">
        <x:v>https://gct.co/connector/usb4500</x:v>
      </x:c>
    </x:row>
    <x:row r="13">
      <x:c r="A13" s="20" t="str">
        <x:v>BT1</x:v>
      </x:c>
      <x:c r="B13" s="20" t="str">
        <x:v>1</x:v>
      </x:c>
      <x:c r="C13" s="20" t="str">
        <x:v>PROVISIONAL &lt;=26x15.5x4.8mm PROTECTED 10kNTC</x:v>
      </x:c>
      <x:c r="D13" s="20" t="str">
        <x:v>TBD</x:v>
      </x:c>
      <x:c r="E13" s="20" t="str">
        <x:v>BATTERY-TBD-3WIRE</x:v>
      </x:c>
      <x:c r="F13" s="20" t="str">
        <x:v>Anticipy_R0B:Battery_LiPo_3Wire_Solder_26x15.5</x:v>
      </x:c>
      <x:c r="G13" s="20" t="str">
        <x:v>Rear / hand solder</x:v>
      </x:c>
      <x:c r="H13" s="20" t="str">
        <x:v>DO NOT SOURCE: exact protected three-wire pack, controlled max-tolerance drawing, polarity, 10k NTC configuration, UN38.3/IEC62133/MSDS, stock and runtime are release gates</x:v>
      </x:c>
      <x:c r="I13" s="20" t="str"/>
    </x:row>
    <x:row r="14">
      <x:c r="A14" s="20" t="str">
        <x:v>SW1</x:v>
      </x:c>
      <x:c r="B14" s="20" t="str">
        <x:v>1</x:v>
      </x:c>
      <x:c r="C14" s="20" t="str">
        <x:v>B3U-1000P</x:v>
      </x:c>
      <x:c r="D14" s="20" t="str">
        <x:v>Omron</x:v>
      </x:c>
      <x:c r="E14" s="20" t="str">
        <x:v>B3U-1000P</x:v>
      </x:c>
      <x:c r="F14" s="20" t="str">
        <x:v>Button_Switch_SMD:SW_SPST_B3U-1000P</x:v>
      </x:c>
      <x:c r="G14" s="20" t="str">
        <x:v>Top</x:v>
      </x:c>
      <x:c r="H14" s="20" t="str">
        <x:v>Hard reset / ship-hold button; intentionally not tied to MCU</x:v>
      </x:c>
      <x:c r="I14" s="20" t="str"/>
    </x:row>
    <x:row r="15">
      <x:c r="A15" s="20" t="str">
        <x:v>LED1</x:v>
      </x:c>
      <x:c r="B15" s="20" t="str">
        <x:v>1</x:v>
      </x:c>
      <x:c r="C15" s="20" t="str">
        <x:v>APHB1608LVBDSEKJ3C</x:v>
      </x:c>
      <x:c r="D15" s="20" t="str">
        <x:v>Kingbright</x:v>
      </x:c>
      <x:c r="E15" s="20" t="str">
        <x:v>APHB1608LVBDSEKJ3C</x:v>
      </x:c>
      <x:c r="F15" s="20" t="str">
        <x:v>Anticipy_R0B:LED_Kingbright_APHB1608LVBDSEKJ3C</x:v>
      </x:c>
      <x:c r="G15" s="20" t="str">
        <x:v>Top</x:v>
      </x:c>
      <x:c r="H15" s="20" t="str">
        <x:v>Red/blue status LED on nPM1300 fixed 5-mA sinks; blue low-battery brightness is a first-article gate</x:v>
      </x:c>
      <x:c r="I15" s="20" t="str">
        <x:v>https://www.kingbrightusa.com/images/catalog/SPEC/APHB1608LVBDSEKJ3C.pdf</x:v>
      </x:c>
    </x:row>
    <x:row r="16">
      <x:c r="A16" s="20" t="str">
        <x:v>Q1</x:v>
      </x:c>
      <x:c r="B16" s="20" t="str">
        <x:v>1</x:v>
      </x:c>
      <x:c r="C16" s="20" t="str">
        <x:v>AO3400A</x:v>
      </x:c>
      <x:c r="D16" s="20" t="str">
        <x:v>Alpha &amp; Omega Semiconductor</x:v>
      </x:c>
      <x:c r="E16" s="20" t="str">
        <x:v>AO3400A</x:v>
      </x:c>
      <x:c r="F16" s="20" t="str">
        <x:v>Package_TO_SOT_SMD:SOT-23</x:v>
      </x:c>
      <x:c r="G16" s="20" t="str">
        <x:v>Top</x:v>
      </x:c>
      <x:c r="H16" s="20" t="str">
        <x:v>Low-side haptic MOSFET</x:v>
      </x:c>
      <x:c r="I16" s="20" t="str"/>
    </x:row>
    <x:row r="17">
      <x:c r="A17" s="20" t="str">
        <x:v>D1</x:v>
      </x:c>
      <x:c r="B17" s="20" t="str">
        <x:v>1</x:v>
      </x:c>
      <x:c r="C17" s="20" t="str">
        <x:v>1N4148WS-7-F</x:v>
      </x:c>
      <x:c r="D17" s="20" t="str">
        <x:v>Diodes Incorporated</x:v>
      </x:c>
      <x:c r="E17" s="20" t="str">
        <x:v>1N4148WS-7-F</x:v>
      </x:c>
      <x:c r="F17" s="20" t="str">
        <x:v>Diode_SMD:D_SOD-323</x:v>
      </x:c>
      <x:c r="G17" s="20" t="str">
        <x:v>Top</x:v>
      </x:c>
      <x:c r="H17" s="20" t="str">
        <x:v>Active-lifecycle haptic flyback diode; KiCad pad 1 is cathode</x:v>
      </x:c>
      <x:c r="I17" s="20" t="str">
        <x:v>https://www.diodes.com/assets/Datasheets/ds12019.pdf</x:v>
      </x:c>
    </x:row>
    <x:row r="18">
      <x:c r="A18" s="20" t="str">
        <x:v>D2</x:v>
      </x:c>
      <x:c r="B18" s="20" t="str">
        <x:v>1</x:v>
      </x:c>
      <x:c r="C18" s="20" t="str">
        <x:v>ESD441DPYR</x:v>
      </x:c>
      <x:c r="D18" s="20" t="str">
        <x:v>Texas Instruments</x:v>
      </x:c>
      <x:c r="E18" s="20" t="str">
        <x:v>ESD441DPYR</x:v>
      </x:c>
      <x:c r="F18" s="20" t="str">
        <x:v>Anticipy_R0B:TI_DPY0002A_X1SON</x:v>
      </x:c>
      <x:c r="G18" s="20" t="str">
        <x:v>Top</x:v>
      </x:c>
      <x:c r="H18" s="20" t="str">
        <x:v>Connector-side 5.5-V VBUS shunt ESD/surge protector; TI DPY0002A land pattern</x:v>
      </x:c>
      <x:c r="I18" s="20" t="str">
        <x:v>https://www.ti.com/lit/gpn/ESD441</x:v>
      </x:c>
    </x:row>
    <x:row r="19">
      <x:c r="A19" s="20" t="str">
        <x:v>M1</x:v>
      </x:c>
      <x:c r="B19" s="20" t="str">
        <x:v>1</x:v>
      </x:c>
      <x:c r="C19" s="20" t="str">
        <x:v>VCLP1020B002L</x:v>
      </x:c>
      <x:c r="D19" s="20" t="str">
        <x:v>Vybronics</x:v>
      </x:c>
      <x:c r="E19" s="20" t="str">
        <x:v>VCLP1020B002L</x:v>
      </x:c>
      <x:c r="F19" s="20" t="str">
        <x:v>Anticipy_R0B:Haptic_VCLP1020B002L_WirePads</x:v>
      </x:c>
      <x:c r="G19" s="20" t="str">
        <x:v>Rear / hand solder</x:v>
      </x:c>
      <x:c r="H19" s="20" t="str">
        <x:v>10-mm coin haptic, hand soldered</x:v>
      </x:c>
      <x:c r="I19" s="20" t="str"/>
    </x:row>
    <x:row r="20">
      <x:c r="A20" s="20" t="str">
        <x:v>NT1</x:v>
      </x:c>
      <x:c r="B20" s="20" t="str">
        <x:v>1</x:v>
      </x:c>
      <x:c r="C20" s="20" t="str">
        <x:v>PVSS1-GND</x:v>
      </x:c>
      <x:c r="D20" s="20" t="str">
        <x:v>Anticipy</x:v>
      </x:c>
      <x:c r="E20" s="20" t="str">
        <x:v>NETTIE</x:v>
      </x:c>
      <x:c r="F20" s="20" t="str">
        <x:v>NetTie:NetTie-2_SMD_Pad0.5mm</x:v>
      </x:c>
      <x:c r="G20" s="20" t="str">
        <x:v>Top</x:v>
      </x:c>
      <x:c r="H20" s="20" t="str">
        <x:v>Single-point buck-1 power-ground tie</x:v>
      </x:c>
      <x:c r="I20" s="20" t="str"/>
    </x:row>
    <x:row r="21">
      <x:c r="A21" s="20" t="str">
        <x:v>NT2</x:v>
      </x:c>
      <x:c r="B21" s="20" t="str">
        <x:v>1</x:v>
      </x:c>
      <x:c r="C21" s="20" t="str">
        <x:v>PVSS2-GND</x:v>
      </x:c>
      <x:c r="D21" s="20" t="str">
        <x:v>Anticipy</x:v>
      </x:c>
      <x:c r="E21" s="20" t="str">
        <x:v>NETTIE</x:v>
      </x:c>
      <x:c r="F21" s="20" t="str">
        <x:v>NetTie:NetTie-2_SMD_Pad0.5mm</x:v>
      </x:c>
      <x:c r="G21" s="20" t="str">
        <x:v>Top</x:v>
      </x:c>
      <x:c r="H21" s="20" t="str">
        <x:v>Single-point buck-2 power-ground tie</x:v>
      </x:c>
      <x:c r="I21" s="20" t="str"/>
    </x:row>
    <x:row r="22">
      <x:c r="A22" s="20" t="str">
        <x:v>L1</x:v>
      </x:c>
      <x:c r="B22" s="20" t="str">
        <x:v>1</x:v>
      </x:c>
      <x:c r="C22" s="20" t="str">
        <x:v>2.2uH</x:v>
      </x:c>
      <x:c r="D22" s="20" t="str">
        <x:v>Samsung Electro-Mechanics</x:v>
      </x:c>
      <x:c r="E22" s="20" t="str">
        <x:v>CIGT201610EH2R2MNE</x:v>
      </x:c>
      <x:c r="F22" s="20" t="str">
        <x:v>Inductor_SMD:L_Murata_DFE201610P</x:v>
      </x:c>
      <x:c r="G22" s="20" t="str">
        <x:v>Top</x:v>
      </x:c>
      <x:c r="H22" s="20" t="str">
        <x:v>Buck-1 inductor</x:v>
      </x:c>
      <x:c r="I22" s="20" t="str"/>
    </x:row>
    <x:row r="23">
      <x:c r="A23" s="20" t="str">
        <x:v>L2</x:v>
      </x:c>
      <x:c r="B23" s="20" t="str">
        <x:v>1</x:v>
      </x:c>
      <x:c r="C23" s="20" t="str">
        <x:v>2.2uH</x:v>
      </x:c>
      <x:c r="D23" s="20" t="str">
        <x:v>Samsung Electro-Mechanics</x:v>
      </x:c>
      <x:c r="E23" s="20" t="str">
        <x:v>CIGT201610EH2R2MNE</x:v>
      </x:c>
      <x:c r="F23" s="20" t="str">
        <x:v>Inductor_SMD:L_Murata_DFE201610P</x:v>
      </x:c>
      <x:c r="G23" s="20" t="str">
        <x:v>Top</x:v>
      </x:c>
      <x:c r="H23" s="20" t="str">
        <x:v>Buck-2 inductor</x:v>
      </x:c>
      <x:c r="I23" s="20" t="str"/>
    </x:row>
    <x:row r="24">
      <x:c r="A24" s="20" t="str">
        <x:v>R1</x:v>
      </x:c>
      <x:c r="B24" s="20" t="str">
        <x:v>1</x:v>
      </x:c>
      <x:c r="C24" s="20" t="str">
        <x:v>10k 1%</x:v>
      </x:c>
      <x:c r="D24" s="20" t="str">
        <x:v>Yageo</x:v>
      </x:c>
      <x:c r="E24" s="20" t="str">
        <x:v>RC0201FR-0710KL</x:v>
      </x:c>
      <x:c r="F24" s="20" t="str">
        <x:v>Resistor_SMD:R_0201_0603Metric</x:v>
      </x:c>
      <x:c r="G24" s="20" t="str">
        <x:v>Top</x:v>
      </x:c>
      <x:c r="H24" s="20" t="str">
        <x:v>I2C pull-up</x:v>
      </x:c>
      <x:c r="I24" s="20" t="str"/>
    </x:row>
    <x:row r="25">
      <x:c r="A25" s="20" t="str">
        <x:v>R2</x:v>
      </x:c>
      <x:c r="B25" s="20" t="str">
        <x:v>1</x:v>
      </x:c>
      <x:c r="C25" s="20" t="str">
        <x:v>10k 1%</x:v>
      </x:c>
      <x:c r="D25" s="20" t="str">
        <x:v>Yageo</x:v>
      </x:c>
      <x:c r="E25" s="20" t="str">
        <x:v>RC0201FR-0710KL</x:v>
      </x:c>
      <x:c r="F25" s="20" t="str">
        <x:v>Resistor_SMD:R_0201_0603Metric</x:v>
      </x:c>
      <x:c r="G25" s="20" t="str">
        <x:v>Top</x:v>
      </x:c>
      <x:c r="H25" s="20" t="str">
        <x:v>I2C pull-up</x:v>
      </x:c>
      <x:c r="I25" s="20" t="str"/>
    </x:row>
    <x:row r="26">
      <x:c r="A26" s="20" t="str">
        <x:v>R3</x:v>
      </x:c>
      <x:c r="B26" s="20" t="str">
        <x:v>1</x:v>
      </x:c>
      <x:c r="C26" s="20" t="str">
        <x:v>330k 1%</x:v>
      </x:c>
      <x:c r="D26" s="20" t="str">
        <x:v>Yageo</x:v>
      </x:c>
      <x:c r="E26" s="20" t="str">
        <x:v>RC0201FR-07330KL</x:v>
      </x:c>
      <x:c r="F26" s="20" t="str">
        <x:v>Resistor_SMD:R_0201_0603Metric</x:v>
      </x:c>
      <x:c r="G26" s="20" t="str">
        <x:v>Top</x:v>
      </x:c>
      <x:c r="H26" s="20" t="str">
        <x:v>Buck-1 starts at 2.7 V; firmware raises 3V_MAIN to 3.0 V</x:v>
      </x:c>
      <x:c r="I26" s="20" t="str"/>
    </x:row>
    <x:row r="27">
      <x:c r="A27" s="20" t="str">
        <x:v>R4</x:v>
      </x:c>
      <x:c r="B27" s="20" t="str">
        <x:v>1</x:v>
      </x:c>
      <x:c r="C27" s="20" t="str">
        <x:v>150k 1%</x:v>
      </x:c>
      <x:c r="D27" s="20" t="str">
        <x:v>Yageo</x:v>
      </x:c>
      <x:c r="E27" s="20" t="str">
        <x:v>RC0201FR-07150KL</x:v>
      </x:c>
      <x:c r="F27" s="20" t="str">
        <x:v>Resistor_SMD:R_0201_0603Metric</x:v>
      </x:c>
      <x:c r="G27" s="20" t="str">
        <x:v>Top</x:v>
      </x:c>
      <x:c r="H27" s="20" t="str">
        <x:v>Buck-2 starts at 3.0 V</x:v>
      </x:c>
      <x:c r="I27" s="20" t="str"/>
    </x:row>
    <x:row r="28">
      <x:c r="A28" s="20" t="str">
        <x:v>R5</x:v>
      </x:c>
      <x:c r="B28" s="20" t="str">
        <x:v>1</x:v>
      </x:c>
      <x:c r="C28" s="20" t="str">
        <x:v>100R 1%</x:v>
      </x:c>
      <x:c r="D28" s="20" t="str">
        <x:v>Yageo</x:v>
      </x:c>
      <x:c r="E28" s="20" t="str">
        <x:v>RC0402FR-07100RL</x:v>
      </x:c>
      <x:c r="F28" s="20" t="str">
        <x:v>Resistor_SMD:R_0402_1005Metric</x:v>
      </x:c>
      <x:c r="G28" s="20" t="str">
        <x:v>Top</x:v>
      </x:c>
      <x:c r="H28" s="20" t="str">
        <x:v>MOSFET gate resistor</x:v>
      </x:c>
      <x:c r="I28" s="20" t="str"/>
    </x:row>
    <x:row r="29">
      <x:c r="A29" s="20" t="str">
        <x:v>R6</x:v>
      </x:c>
      <x:c r="B29" s="20" t="str">
        <x:v>1</x:v>
      </x:c>
      <x:c r="C29" s="20" t="str">
        <x:v>100k 1%</x:v>
      </x:c>
      <x:c r="D29" s="20" t="str">
        <x:v>Yageo</x:v>
      </x:c>
      <x:c r="E29" s="20" t="str">
        <x:v>RC0402FR-07100KL</x:v>
      </x:c>
      <x:c r="F29" s="20" t="str">
        <x:v>Resistor_SMD:R_0402_1005Metric</x:v>
      </x:c>
      <x:c r="G29" s="20" t="str">
        <x:v>Top</x:v>
      </x:c>
      <x:c r="H29" s="20" t="str">
        <x:v>MOSFET gate pulldown</x:v>
      </x:c>
      <x:c r="I29" s="20" t="str"/>
    </x:row>
    <x:row r="30">
      <x:c r="A30" s="20" t="str">
        <x:v>R7</x:v>
      </x:c>
      <x:c r="B30" s="20" t="str">
        <x:v>1</x:v>
      </x:c>
      <x:c r="C30" s="20" t="str">
        <x:v>100k 1%</x:v>
      </x:c>
      <x:c r="D30" s="20" t="str">
        <x:v>Yageo</x:v>
      </x:c>
      <x:c r="E30" s="20" t="str">
        <x:v>RC0402FR-07100KL</x:v>
      </x:c>
      <x:c r="F30" s="20" t="str">
        <x:v>Resistor_SMD:R_0402_1005Metric</x:v>
      </x:c>
      <x:c r="G30" s="20" t="str">
        <x:v>Top</x:v>
      </x:c>
      <x:c r="H30" s="20" t="str">
        <x:v>Flash chip-select default high</x:v>
      </x:c>
      <x:c r="I30" s="20" t="str"/>
    </x:row>
    <x:row r="31">
      <x:c r="A31" s="20" t="str">
        <x:v>R8</x:v>
      </x:c>
      <x:c r="B31" s="20" t="str">
        <x:v>1</x:v>
      </x:c>
      <x:c r="C31" s="20" t="str">
        <x:v>100R 1%</x:v>
      </x:c>
      <x:c r="D31" s="20" t="str">
        <x:v>Yageo</x:v>
      </x:c>
      <x:c r="E31" s="20" t="str">
        <x:v>RC0402FR-07100RL</x:v>
      </x:c>
      <x:c r="F31" s="20" t="str">
        <x:v>Resistor_SMD:R_0402_1005Metric</x:v>
      </x:c>
      <x:c r="G31" s="20" t="str">
        <x:v>Top</x:v>
      </x:c>
      <x:c r="H31" s="20" t="str">
        <x:v>PDM source isolation</x:v>
      </x:c>
      <x:c r="I31" s="20" t="str"/>
    </x:row>
    <x:row r="32">
      <x:c r="A32" s="20" t="str">
        <x:v>R9</x:v>
      </x:c>
      <x:c r="B32" s="20" t="str">
        <x:v>1</x:v>
      </x:c>
      <x:c r="C32" s="20" t="str">
        <x:v>100R 1%</x:v>
      </x:c>
      <x:c r="D32" s="20" t="str">
        <x:v>Yageo</x:v>
      </x:c>
      <x:c r="E32" s="20" t="str">
        <x:v>RC0402FR-07100RL</x:v>
      </x:c>
      <x:c r="F32" s="20" t="str">
        <x:v>Resistor_SMD:R_0402_1005Metric</x:v>
      </x:c>
      <x:c r="G32" s="20" t="str">
        <x:v>Top</x:v>
      </x:c>
      <x:c r="H32" s="20" t="str">
        <x:v>PDM source isolation</x:v>
      </x:c>
      <x:c r="I32" s="20" t="str"/>
    </x:row>
    <x:row r="33">
      <x:c r="A33" s="20" t="str">
        <x:v>R10</x:v>
      </x:c>
      <x:c r="B33" s="20" t="str">
        <x:v>1</x:v>
      </x:c>
      <x:c r="C33" s="20" t="str">
        <x:v>27R 1%</x:v>
      </x:c>
      <x:c r="D33" s="20" t="str">
        <x:v>Vishay Dale</x:v>
      </x:c>
      <x:c r="E33" s="20" t="str">
        <x:v>CRCW020127R0FNED</x:v>
      </x:c>
      <x:c r="F33" s="20" t="str">
        <x:v>Resistor_SMD:R_0201_0603Metric</x:v>
      </x:c>
      <x:c r="G33" s="20" t="str">
        <x:v>Top</x:v>
      </x:c>
      <x:c r="H33" s="20" t="str">
        <x:v>Raytac-recommended USB D+ series resistor</x:v>
      </x:c>
      <x:c r="I33" s="20" t="str"/>
    </x:row>
    <x:row r="34">
      <x:c r="A34" s="20" t="str">
        <x:v>R11</x:v>
      </x:c>
      <x:c r="B34" s="20" t="str">
        <x:v>1</x:v>
      </x:c>
      <x:c r="C34" s="20" t="str">
        <x:v>27R 1%</x:v>
      </x:c>
      <x:c r="D34" s="20" t="str">
        <x:v>Vishay Dale</x:v>
      </x:c>
      <x:c r="E34" s="20" t="str">
        <x:v>CRCW020127R0FNED</x:v>
      </x:c>
      <x:c r="F34" s="20" t="str">
        <x:v>Resistor_SMD:R_0201_0603Metric</x:v>
      </x:c>
      <x:c r="G34" s="20" t="str">
        <x:v>Top</x:v>
      </x:c>
      <x:c r="H34" s="20" t="str">
        <x:v>Raytac-recommended USB D- series resistor</x:v>
      </x:c>
      <x:c r="I34" s="20" t="str"/>
    </x:row>
    <x:row r="35">
      <x:c r="A35" s="20" t="str">
        <x:v>C1</x:v>
      </x:c>
      <x:c r="B35" s="20" t="str">
        <x:v>1</x:v>
      </x:c>
      <x:c r="C35" s="20" t="str">
        <x:v>1uF 16V X7R</x:v>
      </x:c>
      <x:c r="D35" s="20" t="str">
        <x:v>TDK</x:v>
      </x:c>
      <x:c r="E35" s="20" t="str">
        <x:v>C1608X7R1C105K080AC</x:v>
      </x:c>
      <x:c r="F35" s="20" t="str">
        <x:v>Capacitor_SMD:C_0603_1608Metric</x:v>
      </x:c>
      <x:c r="G35" s="20" t="str">
        <x:v>Top</x:v>
      </x:c>
      <x:c r="H35" s="20" t="str">
        <x:v>PMIC VBUS input</x:v>
      </x:c>
      <x:c r="I35" s="20" t="str"/>
    </x:row>
    <x:row r="36">
      <x:c r="A36" s="20" t="str">
        <x:v>C2</x:v>
      </x:c>
      <x:c r="B36" s="20" t="str">
        <x:v>1</x:v>
      </x:c>
      <x:c r="C36" s="20" t="str">
        <x:v>10uF 25V X5R</x:v>
      </x:c>
      <x:c r="D36" s="20" t="str">
        <x:v>Murata</x:v>
      </x:c>
      <x:c r="E36" s="20" t="str">
        <x:v>GRM188R61E106MA73J</x:v>
      </x:c>
      <x:c r="F36" s="20" t="str">
        <x:v>Capacitor_SMD:C_0603_1608Metric</x:v>
      </x:c>
      <x:c r="G36" s="20" t="str">
        <x:v>Top</x:v>
      </x:c>
      <x:c r="H36" s="20" t="str">
        <x:v>Buck-1 PVDD local return</x:v>
      </x:c>
      <x:c r="I36" s="20" t="str"/>
    </x:row>
    <x:row r="37">
      <x:c r="A37" s="20" t="str">
        <x:v>C3</x:v>
      </x:c>
      <x:c r="B37" s="20" t="str">
        <x:v>1</x:v>
      </x:c>
      <x:c r="C37" s="20" t="str">
        <x:v>10uF 25V X5R</x:v>
      </x:c>
      <x:c r="D37" s="20" t="str">
        <x:v>Murata</x:v>
      </x:c>
      <x:c r="E37" s="20" t="str">
        <x:v>GRM188R61E106MA73J</x:v>
      </x:c>
      <x:c r="F37" s="20" t="str">
        <x:v>Capacitor_SMD:C_0603_1608Metric</x:v>
      </x:c>
      <x:c r="G37" s="20" t="str">
        <x:v>Top</x:v>
      </x:c>
      <x:c r="H37" s="20" t="str">
        <x:v>Buck-2 PVDD local return</x:v>
      </x:c>
      <x:c r="I37" s="20" t="str"/>
    </x:row>
    <x:row r="38">
      <x:c r="A38" s="20" t="str">
        <x:v>C4</x:v>
      </x:c>
      <x:c r="B38" s="20" t="str">
        <x:v>1</x:v>
      </x:c>
      <x:c r="C38" s="20" t="str">
        <x:v>10uF 25V X5R</x:v>
      </x:c>
      <x:c r="D38" s="20" t="str">
        <x:v>Murata</x:v>
      </x:c>
      <x:c r="E38" s="20" t="str">
        <x:v>GRM188R61E106MA73J</x:v>
      </x:c>
      <x:c r="F38" s="20" t="str">
        <x:v>Capacitor_SMD:C_0603_1608Metric</x:v>
      </x:c>
      <x:c r="G38" s="20" t="str">
        <x:v>Top</x:v>
      </x:c>
      <x:c r="H38" s="20" t="str">
        <x:v>System rail bulk</x:v>
      </x:c>
      <x:c r="I38" s="20" t="str"/>
    </x:row>
    <x:row r="39">
      <x:c r="A39" s="20" t="str">
        <x:v>C5</x:v>
      </x:c>
      <x:c r="B39" s="20" t="str">
        <x:v>1</x:v>
      </x:c>
      <x:c r="C39" s="20" t="str">
        <x:v>1uF 16V X7R</x:v>
      </x:c>
      <x:c r="D39" s="20" t="str">
        <x:v>TDK</x:v>
      </x:c>
      <x:c r="E39" s="20" t="str">
        <x:v>C1608X7R1C105K080AC</x:v>
      </x:c>
      <x:c r="F39" s="20" t="str">
        <x:v>Capacitor_SMD:C_0603_1608Metric</x:v>
      </x:c>
      <x:c r="G39" s="20" t="str">
        <x:v>Top</x:v>
      </x:c>
      <x:c r="H39" s="20" t="str">
        <x:v>Protected USB output bypass</x:v>
      </x:c>
      <x:c r="I39" s="20" t="str"/>
    </x:row>
    <x:row r="40">
      <x:c r="A40" s="20" t="str">
        <x:v>C6</x:v>
      </x:c>
      <x:c r="B40" s="20" t="str">
        <x:v>1</x:v>
      </x:c>
      <x:c r="C40" s="20" t="str">
        <x:v>2.2uF 16V X7R</x:v>
      </x:c>
      <x:c r="D40" s="20" t="str">
        <x:v>Taiyo Yuden</x:v>
      </x:c>
      <x:c r="E40" s="20" t="str">
        <x:v>EMK107BB7225KA-T</x:v>
      </x:c>
      <x:c r="F40" s="20" t="str">
        <x:v>Capacitor_SMD:C_0603_1608Metric</x:v>
      </x:c>
      <x:c r="G40" s="20" t="str">
        <x:v>Top</x:v>
      </x:c>
      <x:c r="H40" s="20" t="str">
        <x:v>Battery input bypass</x:v>
      </x:c>
      <x:c r="I40" s="20" t="str"/>
    </x:row>
    <x:row r="41">
      <x:c r="A41" s="20" t="str">
        <x:v>C7</x:v>
      </x:c>
      <x:c r="B41" s="20" t="str">
        <x:v>1</x:v>
      </x:c>
      <x:c r="C41" s="20" t="str">
        <x:v>10uF 25V X5R</x:v>
      </x:c>
      <x:c r="D41" s="20" t="str">
        <x:v>Murata</x:v>
      </x:c>
      <x:c r="E41" s="20" t="str">
        <x:v>GRM188R61E106MA73J</x:v>
      </x:c>
      <x:c r="F41" s="20" t="str">
        <x:v>Capacitor_SMD:C_0603_1608Metric</x:v>
      </x:c>
      <x:c r="G41" s="20" t="str">
        <x:v>Top</x:v>
      </x:c>
      <x:c r="H41" s="20" t="str">
        <x:v>Buck-1 output</x:v>
      </x:c>
      <x:c r="I41" s="20" t="str"/>
    </x:row>
    <x:row r="42">
      <x:c r="A42" s="20" t="str">
        <x:v>C8</x:v>
      </x:c>
      <x:c r="B42" s="20" t="str">
        <x:v>1</x:v>
      </x:c>
      <x:c r="C42" s="20" t="str">
        <x:v>10uF 25V X5R</x:v>
      </x:c>
      <x:c r="D42" s="20" t="str">
        <x:v>Murata</x:v>
      </x:c>
      <x:c r="E42" s="20" t="str">
        <x:v>GRM188R61E106MA73J</x:v>
      </x:c>
      <x:c r="F42" s="20" t="str">
        <x:v>Capacitor_SMD:C_0603_1608Metric</x:v>
      </x:c>
      <x:c r="G42" s="20" t="str">
        <x:v>Top</x:v>
      </x:c>
      <x:c r="H42" s="20" t="str">
        <x:v>Buck-2 output</x:v>
      </x:c>
      <x:c r="I42" s="20" t="str"/>
    </x:row>
    <x:row r="43">
      <x:c r="A43" s="20" t="str">
        <x:v>C9</x:v>
      </x:c>
      <x:c r="B43" s="20" t="str">
        <x:v>1</x:v>
      </x:c>
      <x:c r="C43" s="20" t="str">
        <x:v>10uF 25V X5R</x:v>
      </x:c>
      <x:c r="D43" s="20" t="str">
        <x:v>Murata</x:v>
      </x:c>
      <x:c r="E43" s="20" t="str">
        <x:v>GRM188R61E106MA73J</x:v>
      </x:c>
      <x:c r="F43" s="20" t="str">
        <x:v>Capacitor_SMD:C_0603_1608Metric</x:v>
      </x:c>
      <x:c r="G43" s="20" t="str">
        <x:v>Top</x:v>
      </x:c>
      <x:c r="H43" s="20" t="str">
        <x:v>System rail second bulk</x:v>
      </x:c>
      <x:c r="I43" s="20" t="str"/>
    </x:row>
    <x:row r="44">
      <x:c r="A44" s="20" t="str">
        <x:v>C10</x:v>
      </x:c>
      <x:c r="B44" s="20" t="str">
        <x:v>1</x:v>
      </x:c>
      <x:c r="C44" s="20" t="str">
        <x:v>10uF 25V X5R</x:v>
      </x:c>
      <x:c r="D44" s="20" t="str">
        <x:v>Murata</x:v>
      </x:c>
      <x:c r="E44" s="20" t="str">
        <x:v>GRM188R61E106MA73J</x:v>
      </x:c>
      <x:c r="F44" s="20" t="str">
        <x:v>Capacitor_SMD:C_0603_1608Metric</x:v>
      </x:c>
      <x:c r="G44" s="20" t="str">
        <x:v>Top</x:v>
      </x:c>
      <x:c r="H44" s="20" t="str">
        <x:v>Microphone LDO output</x:v>
      </x:c>
      <x:c r="I44" s="20" t="str"/>
    </x:row>
    <x:row r="45">
      <x:c r="A45" s="20" t="str">
        <x:v>C13</x:v>
      </x:c>
      <x:c r="B45" s="20" t="str">
        <x:v>1</x:v>
      </x:c>
      <x:c r="C45" s="20" t="str">
        <x:v>100nF 16V X5R</x:v>
      </x:c>
      <x:c r="D45" s="20" t="str">
        <x:v>TDK</x:v>
      </x:c>
      <x:c r="E45" s="20" t="str">
        <x:v>C0603X5R1C104K030BC</x:v>
      </x:c>
      <x:c r="F45" s="20" t="str">
        <x:v>Capacitor_SMD:C_0201_0603Metric</x:v>
      </x:c>
      <x:c r="G45" s="20" t="str">
        <x:v>Top</x:v>
      </x:c>
      <x:c r="H45" s="20" t="str">
        <x:v>PMIC logic bypass; Nordic QEAA 0201 assembler gate</x:v>
      </x:c>
      <x:c r="I45" s="20" t="str"/>
    </x:row>
    <x:row r="46">
      <x:c r="A46" s="20" t="str">
        <x:v>C14</x:v>
      </x:c>
      <x:c r="B46" s="20" t="str">
        <x:v>1</x:v>
      </x:c>
      <x:c r="C46" s="20" t="str">
        <x:v>100nF 16V X7R</x:v>
      </x:c>
      <x:c r="D46" s="20" t="str">
        <x:v>KEMET</x:v>
      </x:c>
      <x:c r="E46" s="20" t="str">
        <x:v>C0402C104M4RAC7867</x:v>
      </x:c>
      <x:c r="F46" s="20" t="str">
        <x:v>Capacitor_SMD:C_0402_1005Metric</x:v>
      </x:c>
      <x:c r="G46" s="20" t="str">
        <x:v>Top</x:v>
      </x:c>
      <x:c r="H46" s="20" t="str">
        <x:v>Buck-1 high-frequency input bypass; Nordic QEAA ref 1.2</x:v>
      </x:c>
      <x:c r="I46" s="20" t="str"/>
    </x:row>
    <x:row r="47">
      <x:c r="A47" s="20" t="str">
        <x:v>C15</x:v>
      </x:c>
      <x:c r="B47" s="20" t="str">
        <x:v>1</x:v>
      </x:c>
      <x:c r="C47" s="20" t="str">
        <x:v>100nF 16V X7R</x:v>
      </x:c>
      <x:c r="D47" s="20" t="str">
        <x:v>KEMET</x:v>
      </x:c>
      <x:c r="E47" s="20" t="str">
        <x:v>C0402C104M4RAC7867</x:v>
      </x:c>
      <x:c r="F47" s="20" t="str">
        <x:v>Capacitor_SMD:C_0402_1005Metric</x:v>
      </x:c>
      <x:c r="G47" s="20" t="str">
        <x:v>Top</x:v>
      </x:c>
      <x:c r="H47" s="20" t="str">
        <x:v>Buck-2 high-frequency input bypass; Nordic QEAA ref 1.2</x:v>
      </x:c>
      <x:c r="I47" s="20" t="str"/>
    </x:row>
    <x:row r="48">
      <x:c r="A48" s="20" t="str">
        <x:v>C16</x:v>
      </x:c>
      <x:c r="B48" s="20" t="str">
        <x:v>1</x:v>
      </x:c>
      <x:c r="C48" s="20" t="str">
        <x:v>100nF 16V X7R</x:v>
      </x:c>
      <x:c r="D48" s="20" t="str">
        <x:v>KEMET</x:v>
      </x:c>
      <x:c r="E48" s="20" t="str">
        <x:v>C0402C104M4RAC7867</x:v>
      </x:c>
      <x:c r="F48" s="20" t="str">
        <x:v>Capacitor_SMD:C_0402_1005Metric</x:v>
      </x:c>
      <x:c r="G48" s="20" t="str">
        <x:v>Top</x:v>
      </x:c>
      <x:c r="H48" s="20" t="str">
        <x:v>System high-frequency bypass; Nordic QEAA ref 1.2</x:v>
      </x:c>
      <x:c r="I48" s="20" t="str"/>
    </x:row>
    <x:row r="49">
      <x:c r="A49" s="20" t="str">
        <x:v>C17</x:v>
      </x:c>
      <x:c r="B49" s="20" t="str">
        <x:v>1</x:v>
      </x:c>
      <x:c r="C49" s="20" t="str">
        <x:v>100nF 10V X7R</x:v>
      </x:c>
      <x:c r="D49" s="20" t="str">
        <x:v>TDK</x:v>
      </x:c>
      <x:c r="E49" s="20" t="str">
        <x:v>C1005X7R1A104K050BC</x:v>
      </x:c>
      <x:c r="F49" s="20" t="str">
        <x:v>Capacitor_SMD:C_0402_1005Metric</x:v>
      </x:c>
      <x:c r="G49" s="20" t="str">
        <x:v>Top</x:v>
      </x:c>
      <x:c r="H49" s="20" t="str">
        <x:v>Flash local bypass</x:v>
      </x:c>
      <x:c r="I49" s="20" t="str"/>
    </x:row>
    <x:row r="50">
      <x:c r="A50" s="20" t="str">
        <x:v>C18</x:v>
      </x:c>
      <x:c r="B50" s="20" t="str">
        <x:v>1</x:v>
      </x:c>
      <x:c r="C50" s="20" t="str">
        <x:v>1uF 16V X7R</x:v>
      </x:c>
      <x:c r="D50" s="20" t="str">
        <x:v>TDK</x:v>
      </x:c>
      <x:c r="E50" s="20" t="str">
        <x:v>C1608X7R1C105K080AC</x:v>
      </x:c>
      <x:c r="F50" s="20" t="str">
        <x:v>Capacitor_SMD:C_0603_1608Metric</x:v>
      </x:c>
      <x:c r="G50" s="20" t="str">
        <x:v>Top</x:v>
      </x:c>
      <x:c r="H50" s="20" t="str">
        <x:v>Flash local bulk</x:v>
      </x:c>
      <x:c r="I50" s="20" t="str"/>
    </x:row>
    <x:row r="51">
      <x:c r="A51" s="20" t="str">
        <x:v>C19</x:v>
      </x:c>
      <x:c r="B51" s="20" t="str">
        <x:v>1</x:v>
      </x:c>
      <x:c r="C51" s="20" t="str">
        <x:v>100nF 10V X7R</x:v>
      </x:c>
      <x:c r="D51" s="20" t="str">
        <x:v>TDK</x:v>
      </x:c>
      <x:c r="E51" s="20" t="str">
        <x:v>C1005X7R1A104K050BC</x:v>
      </x:c>
      <x:c r="F51" s="20" t="str">
        <x:v>Capacitor_SMD:C_0402_1005Metric</x:v>
      </x:c>
      <x:c r="G51" s="20" t="str">
        <x:v>Top</x:v>
      </x:c>
      <x:c r="H51" s="20" t="str">
        <x:v>MIC1 local bypass</x:v>
      </x:c>
      <x:c r="I51" s="20" t="str"/>
    </x:row>
    <x:row r="52">
      <x:c r="A52" s="20" t="str">
        <x:v>C20</x:v>
      </x:c>
      <x:c r="B52" s="20" t="str">
        <x:v>1</x:v>
      </x:c>
      <x:c r="C52" s="20" t="str">
        <x:v>100nF 10V X7R</x:v>
      </x:c>
      <x:c r="D52" s="20" t="str">
        <x:v>TDK</x:v>
      </x:c>
      <x:c r="E52" s="20" t="str">
        <x:v>C1005X7R1A104K050BC</x:v>
      </x:c>
      <x:c r="F52" s="20" t="str">
        <x:v>Capacitor_SMD:C_0402_1005Metric</x:v>
      </x:c>
      <x:c r="G52" s="20" t="str">
        <x:v>Top</x:v>
      </x:c>
      <x:c r="H52" s="20" t="str">
        <x:v>MIC2 local bypass</x:v>
      </x:c>
      <x:c r="I52" s="20" t="str"/>
    </x:row>
    <x:row r="53">
      <x:c r="A53" s="20" t="str">
        <x:v>C21</x:v>
      </x:c>
      <x:c r="B53" s="20" t="str">
        <x:v>1</x:v>
      </x:c>
      <x:c r="C53" s="20" t="str">
        <x:v>100nF 16V X5R</x:v>
      </x:c>
      <x:c r="D53" s="20" t="str">
        <x:v>TDK</x:v>
      </x:c>
      <x:c r="E53" s="20" t="str">
        <x:v>C0603X5R1C104K030BC</x:v>
      </x:c>
      <x:c r="F53" s="20" t="str">
        <x:v>Capacitor_SMD:C_0201_0603Metric</x:v>
      </x:c>
      <x:c r="G53" s="20" t="str">
        <x:v>Top</x:v>
      </x:c>
      <x:c r="H53" s="20" t="str">
        <x:v>Accelerometer VDD local bypass</x:v>
      </x:c>
      <x:c r="I53" s="20" t="str"/>
    </x:row>
    <x:row r="54">
      <x:c r="A54" s="20" t="str">
        <x:v>C22</x:v>
      </x:c>
      <x:c r="B54" s="20" t="str">
        <x:v>1</x:v>
      </x:c>
      <x:c r="C54" s="20" t="str">
        <x:v>100nF 10V X7R</x:v>
      </x:c>
      <x:c r="D54" s="20" t="str">
        <x:v>TDK</x:v>
      </x:c>
      <x:c r="E54" s="20" t="str">
        <x:v>C1005X7R1A104K050BC</x:v>
      </x:c>
      <x:c r="F54" s="20" t="str">
        <x:v>Capacitor_SMD:C_0402_1005Metric</x:v>
      </x:c>
      <x:c r="G54" s="20" t="str">
        <x:v>Top</x:v>
      </x:c>
      <x:c r="H54" s="20" t="str">
        <x:v>Motor brush-noise capacitor</x:v>
      </x:c>
      <x:c r="I54" s="20" t="str"/>
    </x:row>
    <x:row r="55">
      <x:c r="A55" s="20" t="str">
        <x:v>C23</x:v>
      </x:c>
      <x:c r="B55" s="20" t="str">
        <x:v>1</x:v>
      </x:c>
      <x:c r="C55" s="20" t="str">
        <x:v>47uF 6.3V X5R</x:v>
      </x:c>
      <x:c r="D55" s="20" t="str">
        <x:v>Yageo</x:v>
      </x:c>
      <x:c r="E55" s="20" t="str">
        <x:v>CC0805MKX5R5BB476</x:v>
      </x:c>
      <x:c r="F55" s="20" t="str">
        <x:v>Capacitor_SMD:C_0805_2012Metric</x:v>
      </x:c>
      <x:c r="G55" s="20" t="str">
        <x:v>Top</x:v>
      </x:c>
      <x:c r="H55" s="20" t="str">
        <x:v>Haptic rail bulk</x:v>
      </x:c>
      <x:c r="I55" s="20" t="str"/>
    </x:row>
    <x:row r="56">
      <x:c r="A56" s="20" t="str">
        <x:v>C24</x:v>
      </x:c>
      <x:c r="B56" s="20" t="str">
        <x:v>1</x:v>
      </x:c>
      <x:c r="C56" s="20" t="str">
        <x:v>10uF 25V X5R</x:v>
      </x:c>
      <x:c r="D56" s="20" t="str">
        <x:v>Murata</x:v>
      </x:c>
      <x:c r="E56" s="20" t="str">
        <x:v>GRM188R61E106MA73J</x:v>
      </x:c>
      <x:c r="F56" s="20" t="str">
        <x:v>Capacitor_SMD:C_0603_1608Metric</x:v>
      </x:c>
      <x:c r="G56" s="20" t="str">
        <x:v>Top</x:v>
      </x:c>
      <x:c r="H56" s="20" t="str">
        <x:v>Accelerometer local bulk</x:v>
      </x:c>
      <x:c r="I56" s="20" t="str"/>
    </x:row>
    <x:row r="57">
      <x:c r="A57" s="20" t="str">
        <x:v>C25</x:v>
      </x:c>
      <x:c r="B57" s="20" t="str">
        <x:v>1</x:v>
      </x:c>
      <x:c r="C57" s="20" t="str">
        <x:v>10uF 6.3V X5R</x:v>
      </x:c>
      <x:c r="D57" s="20" t="str">
        <x:v>Murata</x:v>
      </x:c>
      <x:c r="E57" s="20" t="str">
        <x:v>GRM155R60J106ME15D</x:v>
      </x:c>
      <x:c r="F57" s="20" t="str">
        <x:v>Capacitor_SMD:C_0402_1005Metric</x:v>
      </x:c>
      <x:c r="G57" s="20" t="str">
        <x:v>Top</x:v>
      </x:c>
      <x:c r="H57" s="20" t="str">
        <x:v>Raytac VDD/VDDH local bulk; effective capacitance is a first-article gate</x:v>
      </x:c>
      <x:c r="I57" s="20" t="str"/>
    </x:row>
    <x:row r="58">
      <x:c r="A58" s="20" t="str">
        <x:v>C26</x:v>
      </x:c>
      <x:c r="B58" s="20" t="str">
        <x:v>1</x:v>
      </x:c>
      <x:c r="C58" s="20" t="str">
        <x:v>10uF 6.3V X5R</x:v>
      </x:c>
      <x:c r="D58" s="20" t="str">
        <x:v>Murata</x:v>
      </x:c>
      <x:c r="E58" s="20" t="str">
        <x:v>GRM155R60J106ME15D</x:v>
      </x:c>
      <x:c r="F58" s="20" t="str">
        <x:v>Capacitor_SMD:C_0402_1005Metric</x:v>
      </x:c>
      <x:c r="G58" s="20" t="str">
        <x:v>Top</x:v>
      </x:c>
      <x:c r="H58" s="20" t="str">
        <x:v>Raytac VBUS local bulk; effective capacitance is a first-article gate</x:v>
      </x:c>
      <x:c r="I58" s="20" t="str"/>
    </x:row>
    <x:row r="59">
      <x:c r="A59" s="21" t="str">
        <x:v>C27</x:v>
      </x:c>
      <x:c r="B59" s="21" t="str">
        <x:v>1</x:v>
      </x:c>
      <x:c r="C59" s="21" t="str">
        <x:v>100nF 16V X5R</x:v>
      </x:c>
      <x:c r="D59" s="21" t="str">
        <x:v>TDK</x:v>
      </x:c>
      <x:c r="E59" s="21" t="str">
        <x:v>C0603X5R1C104K030BC</x:v>
      </x:c>
      <x:c r="F59" s="21" t="str">
        <x:v>Capacitor_SMD:C_0201_0603Metric</x:v>
      </x:c>
      <x:c r="G59" s="21" t="str">
        <x:v>Top</x:v>
      </x:c>
      <x:c r="H59" s="21" t="str">
        <x:v>Accelerometer VDDIO local bypass</x:v>
      </x:c>
      <x:c r="I59" s="2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ee34b66611142df"/>
  </x:tableParts>
</x:worksheet>
</file>